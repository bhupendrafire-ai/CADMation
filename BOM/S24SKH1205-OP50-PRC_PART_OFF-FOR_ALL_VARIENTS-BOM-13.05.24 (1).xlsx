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19440" windowHeight="12210" activeTab="1"/>
  </bookViews>
  <sheets>
    <sheet name="MFG ITEM" sheetId="2" r:id="rId1"/>
    <sheet name="STD ITEM" sheetId="3" r:id="rId2"/>
  </sheets>
  <definedNames>
    <definedName name="_xlnm.Print_Area" localSheetId="0">'MFG ITEM'!$A$1:$Q$84</definedName>
    <definedName name="_xlnm.Print_Area" localSheetId="1">'STD ITEM'!$A$1:$R$43</definedName>
  </definedNames>
  <calcPr calcId="144525"/>
</workbook>
</file>

<file path=xl/calcChain.xml><?xml version="1.0" encoding="utf-8"?>
<calcChain xmlns="http://schemas.openxmlformats.org/spreadsheetml/2006/main">
  <c r="A36" i="3" l="1"/>
  <c r="A34" i="3" l="1"/>
  <c r="A26" i="3" l="1"/>
  <c r="A5" i="3"/>
  <c r="A83" i="2"/>
  <c r="A84" i="2" s="1"/>
  <c r="A56" i="2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55" i="2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6" i="2"/>
  <c r="A6" i="3" l="1"/>
  <c r="A7" i="3" s="1"/>
  <c r="A8" i="3" s="1"/>
  <c r="A9" i="3" s="1"/>
  <c r="A10" i="3" s="1"/>
  <c r="A11" i="3" s="1"/>
  <c r="A13" i="3" s="1"/>
  <c r="A15" i="3" s="1"/>
  <c r="A16" i="3" s="1"/>
  <c r="A17" i="3" s="1"/>
  <c r="A18" i="3" s="1"/>
  <c r="A20" i="3" s="1"/>
  <c r="A22" i="3" s="1"/>
  <c r="A23" i="3" s="1"/>
  <c r="A24" i="3" s="1"/>
  <c r="A25" i="3" s="1"/>
  <c r="A27" i="3" s="1"/>
  <c r="A28" i="3" s="1"/>
  <c r="A29" i="3" s="1"/>
  <c r="A30" i="3" s="1"/>
  <c r="A31" i="3" s="1"/>
  <c r="A32" i="3" s="1"/>
  <c r="A33" i="3" s="1"/>
  <c r="A1" i="3" l="1"/>
  <c r="P1" i="3" l="1"/>
</calcChain>
</file>

<file path=xl/sharedStrings.xml><?xml version="1.0" encoding="utf-8"?>
<sst xmlns="http://schemas.openxmlformats.org/spreadsheetml/2006/main" count="379" uniqueCount="182">
  <si>
    <t>MATERIAL</t>
  </si>
  <si>
    <t>ITEM NO.</t>
  </si>
  <si>
    <t>PART NUMBER</t>
  </si>
  <si>
    <t>QTY.</t>
  </si>
  <si>
    <t>S. QTY.</t>
  </si>
  <si>
    <t>L</t>
  </si>
  <si>
    <t>W</t>
  </si>
  <si>
    <t>TH/Ht</t>
  </si>
  <si>
    <t>SCREW</t>
  </si>
  <si>
    <t>DOWELS</t>
  </si>
  <si>
    <t>TREATMENT</t>
  </si>
  <si>
    <t>HARDNESS</t>
  </si>
  <si>
    <t>QTY</t>
  </si>
  <si>
    <t>DESC.</t>
  </si>
  <si>
    <t>MFG ITEM</t>
  </si>
  <si>
    <t>DESCRIPTION
(STD ITEMS)</t>
  </si>
  <si>
    <t>EQU. CATALOGUE NO.</t>
  </si>
  <si>
    <t>STD ITEM</t>
  </si>
  <si>
    <t>DESC</t>
  </si>
  <si>
    <t>LENGTH</t>
  </si>
  <si>
    <t>DESCRIPTION
(MFG ITEMS)</t>
  </si>
  <si>
    <t>H</t>
  </si>
  <si>
    <t>MS</t>
  </si>
  <si>
    <t>MISUMI</t>
  </si>
  <si>
    <t>SPARE QTY.</t>
  </si>
  <si>
    <t>FG300</t>
  </si>
  <si>
    <t>OHNS</t>
  </si>
  <si>
    <t>FINISH SIZE</t>
  </si>
  <si>
    <t>LOWER ASSLY</t>
  </si>
  <si>
    <t>UPPER ASSY</t>
  </si>
  <si>
    <t>LOWER STEEL 01</t>
  </si>
  <si>
    <t>LOWER STEEL 02</t>
  </si>
  <si>
    <t>LOWER STEEL 03</t>
  </si>
  <si>
    <t>LOWER STEEL 04</t>
  </si>
  <si>
    <t>HRD&amp;GRD 40 TO 45 HRC</t>
  </si>
  <si>
    <t>EN8</t>
  </si>
  <si>
    <t>LOWER STEEL 05</t>
  </si>
  <si>
    <t>NEST GAUGE VER PLATE</t>
  </si>
  <si>
    <t>NEST GAUGE BASE PLATE</t>
  </si>
  <si>
    <t>UPPER PAD</t>
  </si>
  <si>
    <t>PART THK-0.70MM</t>
  </si>
  <si>
    <t>DIE BUTTON 01</t>
  </si>
  <si>
    <t>DIE BUTTON 02</t>
  </si>
  <si>
    <t>LOWER STEEL 06</t>
  </si>
  <si>
    <t>LOWER STEEL 07</t>
  </si>
  <si>
    <t>LOWER STEEL 08</t>
  </si>
  <si>
    <t>LOWER STEEL 09</t>
  </si>
  <si>
    <t>ENSTB-65-20-M10</t>
  </si>
  <si>
    <t>Ø45</t>
  </si>
  <si>
    <t>PUNCH RETAINER 01</t>
  </si>
  <si>
    <t>PUNCH RETAINER 02</t>
  </si>
  <si>
    <t>40Cr4</t>
  </si>
  <si>
    <t>S24SKH1205-OP50-PRC&amp;PART OFF</t>
  </si>
  <si>
    <t>LOWER CASTING</t>
  </si>
  <si>
    <t>GAUGE BLOCK 01</t>
  </si>
  <si>
    <t>GAUGE BLOCK 02</t>
  </si>
  <si>
    <t>GAUGE BLOCK 03</t>
  </si>
  <si>
    <t>GAUGE BLOCK 04</t>
  </si>
  <si>
    <t>GAUGE BLOCK 05</t>
  </si>
  <si>
    <t>GAUGE BLOCK 06</t>
  </si>
  <si>
    <t>Ø10</t>
  </si>
  <si>
    <t>LOWER STEEL 10</t>
  </si>
  <si>
    <t>LOWER STEEL 11</t>
  </si>
  <si>
    <t>LOWER STEEL 12</t>
  </si>
  <si>
    <t>LOWER STEEL 13</t>
  </si>
  <si>
    <t>LOWER STEEL 14</t>
  </si>
  <si>
    <t>LOWER STEEL 15</t>
  </si>
  <si>
    <t>LOWER STEEL 16</t>
  </si>
  <si>
    <t>LOWER STEEL 17</t>
  </si>
  <si>
    <t>LOWER STEEL 18</t>
  </si>
  <si>
    <t>LOWER STEEL 19</t>
  </si>
  <si>
    <t>LOWER STEEL 20</t>
  </si>
  <si>
    <t>TR PLATE</t>
  </si>
  <si>
    <t>GAUGE PIN  01</t>
  </si>
  <si>
    <t>GAUGE PIN  02</t>
  </si>
  <si>
    <t>Ø20</t>
  </si>
  <si>
    <t>B-60</t>
  </si>
  <si>
    <t>CATS IN BOLTS</t>
  </si>
  <si>
    <t>CSN24</t>
  </si>
  <si>
    <t>PLATE (P CYLINDER)</t>
  </si>
  <si>
    <t>VHT</t>
  </si>
  <si>
    <t>GAS SPRING FIXING PLATE</t>
  </si>
  <si>
    <t>GSV2400-50</t>
  </si>
  <si>
    <t>GAS SPRING HITTING BLOCK</t>
  </si>
  <si>
    <t>LIFTER</t>
  </si>
  <si>
    <t>UPPER CASTING</t>
  </si>
  <si>
    <t>GPM40-180-MC</t>
  </si>
  <si>
    <t>GUIDE PILLAR (LWR)</t>
  </si>
  <si>
    <t>CSR32-90</t>
  </si>
  <si>
    <t>SPOOL RETAINER</t>
  </si>
  <si>
    <t>GUIDE BUSH LOCK 01</t>
  </si>
  <si>
    <t>Ø150</t>
  </si>
  <si>
    <t>DP-FP25</t>
  </si>
  <si>
    <t>DP-FP13</t>
  </si>
  <si>
    <t>SWH60-60</t>
  </si>
  <si>
    <t>COIL SPRING</t>
  </si>
  <si>
    <t>PJH12-15</t>
  </si>
  <si>
    <t>SPRING PLUNGER</t>
  </si>
  <si>
    <t>CSPWT40-80</t>
  </si>
  <si>
    <t>RETAINER PIN SET</t>
  </si>
  <si>
    <t>SJAL8-90-P7.15</t>
  </si>
  <si>
    <t>PUNCH RETAINER 03</t>
  </si>
  <si>
    <t>PUNCH RETAINER 04</t>
  </si>
  <si>
    <t>PUNCH RETAINER BACK PLT 03</t>
  </si>
  <si>
    <t>PUNCH RETAINER BACK PLT 04</t>
  </si>
  <si>
    <t>PUNCH RETAINER 05</t>
  </si>
  <si>
    <t>PUNCH RETAINER BACK PLT 05</t>
  </si>
  <si>
    <t>PUNCH RETAINER 06</t>
  </si>
  <si>
    <t>PUNCH RETAINER BACK PLT 06</t>
  </si>
  <si>
    <t>PUNCH RETAINER 07</t>
  </si>
  <si>
    <t>PUNCH RETAINER BACK PLT 07</t>
  </si>
  <si>
    <t>PUNCH RETAINER 08</t>
  </si>
  <si>
    <t>PUNCH RETAINER BACK PLT 08</t>
  </si>
  <si>
    <t>PUNCH RETAINER 09</t>
  </si>
  <si>
    <t>PUNCH RETAINER BACK PLT 09</t>
  </si>
  <si>
    <t>PUNCH RETAINER 10</t>
  </si>
  <si>
    <t>PUNCH RETAINER BACK PLT 10</t>
  </si>
  <si>
    <t>PUNCH RETAINER 2</t>
  </si>
  <si>
    <t>PUNCH RETAINER BACK PLT 2</t>
  </si>
  <si>
    <t>UPPER STEEL 01</t>
  </si>
  <si>
    <t>UPPER STEEL 02</t>
  </si>
  <si>
    <t>UPPER STEEL 03</t>
  </si>
  <si>
    <t>UPPER STEEL 04</t>
  </si>
  <si>
    <t>UPPER STEEL 05</t>
  </si>
  <si>
    <t>MWF100-100</t>
  </si>
  <si>
    <t>SGBW40</t>
  </si>
  <si>
    <t>GUIDE BUSH LOCK 02</t>
  </si>
  <si>
    <t>INHOUSE</t>
  </si>
  <si>
    <t>PART THK-1.0MM</t>
  </si>
  <si>
    <t>DATE:12.05.2024</t>
  </si>
  <si>
    <t>C45</t>
  </si>
  <si>
    <t>SETTING BLOCK LWR</t>
  </si>
  <si>
    <t>SETTING BLOCK UPR</t>
  </si>
  <si>
    <t>CYLINDER MTG PLATE</t>
  </si>
  <si>
    <t>CYLINDER PIN</t>
  </si>
  <si>
    <t>PI INSERT 01</t>
  </si>
  <si>
    <t>PI INSERT 02</t>
  </si>
  <si>
    <t>PI INSERT 03</t>
  </si>
  <si>
    <t>PI INSERT 04</t>
  </si>
  <si>
    <t>PI INSERT 05</t>
  </si>
  <si>
    <t>PI INSERT 06</t>
  </si>
  <si>
    <t>PI INSERT 07</t>
  </si>
  <si>
    <t>PI INSERT 08</t>
  </si>
  <si>
    <t>PI INSERT 09</t>
  </si>
  <si>
    <t>PI INSERT 10</t>
  </si>
  <si>
    <t>PUNCH RETAINER 1</t>
  </si>
  <si>
    <t>PUNCH RETAINER BACK PLT 1</t>
  </si>
  <si>
    <t>GPM60-2250</t>
  </si>
  <si>
    <t>INBUILT IN CASTING</t>
  </si>
  <si>
    <t>MWF125-150</t>
  </si>
  <si>
    <t>WEAR PLATE 01 (LWR)</t>
  </si>
  <si>
    <t>SMC/GENETICS</t>
  </si>
  <si>
    <t>PNUMATIC CYLINDER</t>
  </si>
  <si>
    <t>ENSTD-65-20-M10</t>
  </si>
  <si>
    <t>FC75</t>
  </si>
  <si>
    <t>GAS SPRING (STORAGE GS)</t>
  </si>
  <si>
    <t>GUIDE PILLAR (UPR PAD)</t>
  </si>
  <si>
    <t>GUIDE BUSH (UPR PAD)</t>
  </si>
  <si>
    <t>SGBW60</t>
  </si>
  <si>
    <t>GUIDE BUSH (MAIN)</t>
  </si>
  <si>
    <t>MFW125-150</t>
  </si>
  <si>
    <t>WEAR PLATE 02 (UPR)</t>
  </si>
  <si>
    <t>SPRING RETAINER</t>
  </si>
  <si>
    <t>Ø28</t>
  </si>
  <si>
    <t>SGC28-40</t>
  </si>
  <si>
    <t>WEAR PLATE 03 (UPR PAD)</t>
  </si>
  <si>
    <t>SPRL13-90-P8.35-W8.35-R1.00</t>
  </si>
  <si>
    <t>PUNCH 02 (H-3)</t>
  </si>
  <si>
    <t>PUNCH 03 (H-2 / H-5)</t>
  </si>
  <si>
    <t>PUNCH 06 (H1-6-15-16-17)</t>
  </si>
  <si>
    <t>PUNCH 04 (H-13 / H-14)</t>
  </si>
  <si>
    <t>PUNCH 05 (H-18)</t>
  </si>
  <si>
    <t>PUNCH 01 (H-7-8-9-10)</t>
  </si>
  <si>
    <t>SJRL25-90-P19.35-W9.35-R1.00-KC90</t>
  </si>
  <si>
    <t>SJRL25-90-P19.35-W9.35-R1.00</t>
  </si>
  <si>
    <t>SJRL13-90-P9.35-W7.65-R1.00</t>
  </si>
  <si>
    <t>SJRL16-90-P10.35-W8.45-R1.00</t>
  </si>
  <si>
    <t>SJRL13-90-P8.35-W6.35-R1.00</t>
  </si>
  <si>
    <t>EKDR20-16-P8.41-W8.41-R1.03</t>
  </si>
  <si>
    <t>EKDR38-20-P19.41-W9.41-R1.03</t>
  </si>
  <si>
    <t>SKD11</t>
  </si>
  <si>
    <t>HRD&amp;GRD-55 TO 60 HRC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</si>
</sst>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trike/>
      <sz val="12"/>
      <color rgb="FFFF0000"/>
      <name val="Calibri"/>
      <family val="2"/>
      <scheme val="minor"/>
    </font>
    <font>
      <sz val="14"/>
      <name val="Calibri"/>
      <family val="2"/>
    </font>
    <font>
      <sz val="16"/>
      <color rgb="FFFF0000"/>
      <name val="Calibri"/>
      <family val="2"/>
    </font>
    <font>
      <sz val="16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31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center"/>
    </xf>
    <xf numFmtId="0" fontId="8" fillId="6" borderId="2" xfId="0" applyFont="1" applyFill="1" applyBorder="1" applyAlignment="1">
      <alignment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0" xfId="0" applyFont="1" applyFill="1" applyAlignment="1">
      <alignment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vertical="center"/>
    </xf>
    <xf numFmtId="0" fontId="8" fillId="7" borderId="2" xfId="0" applyFont="1" applyFill="1" applyBorder="1" applyAlignment="1">
      <alignment vertical="center"/>
    </xf>
    <xf numFmtId="0" fontId="8" fillId="7" borderId="7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0" fillId="7" borderId="1" xfId="0" applyFont="1" applyFill="1" applyBorder="1" applyAlignment="1">
      <alignment horizontal="left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vertical="center"/>
    </xf>
    <xf numFmtId="0" fontId="8" fillId="8" borderId="2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/>
    </xf>
    <xf numFmtId="0" fontId="8" fillId="10" borderId="2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6" fillId="5" borderId="2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vertical="center"/>
    </xf>
    <xf numFmtId="0" fontId="8" fillId="11" borderId="2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8" fillId="4" borderId="2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0" fontId="8" fillId="7" borderId="3" xfId="0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Q93"/>
  <sheetViews>
    <sheetView view="pageBreakPreview" zoomScaleNormal="130" zoomScaleSheetLayoutView="100" workbookViewId="0">
      <selection activeCell="P9" sqref="P9"/>
    </sheetView>
  </sheetViews>
  <sheetFormatPr defaultColWidth="9.140625" defaultRowHeight="15" x14ac:dyDescent="0.25"/>
  <cols>
    <col min="1" max="1" width="10.140625" style="1" bestFit="1" customWidth="1"/>
    <col min="2" max="2" width="34.7109375" style="2" customWidth="1"/>
    <col min="3" max="3" width="11.28515625" style="1" customWidth="1"/>
    <col min="4" max="4" width="5.140625" style="1" bestFit="1" customWidth="1"/>
    <col min="5" max="5" width="7.140625" style="1" bestFit="1" customWidth="1"/>
    <col min="6" max="8" width="8.140625" style="1" customWidth="1"/>
    <col min="9" max="9" width="10" style="1" bestFit="1" customWidth="1"/>
    <col min="10" max="10" width="9.140625" style="1" customWidth="1"/>
    <col min="11" max="11" width="7.85546875" style="1" hidden="1" customWidth="1"/>
    <col min="12" max="12" width="7.42578125" style="1" hidden="1" customWidth="1"/>
    <col min="13" max="14" width="7.5703125" style="1" hidden="1" customWidth="1"/>
    <col min="15" max="15" width="6.42578125" style="1" hidden="1" customWidth="1"/>
    <col min="16" max="16" width="12.140625" style="1" customWidth="1"/>
    <col min="17" max="17" width="26.28515625" style="1" customWidth="1"/>
    <col min="18" max="16384" width="9.140625" style="1"/>
  </cols>
  <sheetData>
    <row r="1" spans="1:17" ht="22.5" customHeight="1" x14ac:dyDescent="0.25">
      <c r="A1" s="62" t="s">
        <v>52</v>
      </c>
      <c r="B1" s="62"/>
      <c r="C1" s="62"/>
      <c r="D1" s="71" t="s">
        <v>14</v>
      </c>
      <c r="E1" s="72"/>
      <c r="F1" s="72"/>
      <c r="G1" s="72"/>
      <c r="H1" s="73"/>
      <c r="I1" s="70" t="s">
        <v>128</v>
      </c>
      <c r="J1" s="70"/>
      <c r="K1" s="70"/>
      <c r="L1" s="70"/>
      <c r="M1" s="70"/>
      <c r="N1" s="70"/>
      <c r="O1" s="70"/>
      <c r="P1" s="62" t="s">
        <v>129</v>
      </c>
      <c r="Q1" s="62"/>
    </row>
    <row r="2" spans="1:17" ht="22.5" customHeight="1" x14ac:dyDescent="0.25">
      <c r="A2" s="63" t="s">
        <v>1</v>
      </c>
      <c r="B2" s="63" t="s">
        <v>20</v>
      </c>
      <c r="C2" s="74" t="s">
        <v>2</v>
      </c>
      <c r="D2" s="76" t="s">
        <v>3</v>
      </c>
      <c r="E2" s="76" t="s">
        <v>24</v>
      </c>
      <c r="F2" s="76" t="s">
        <v>27</v>
      </c>
      <c r="G2" s="76"/>
      <c r="H2" s="76"/>
      <c r="I2" s="76" t="s">
        <v>0</v>
      </c>
      <c r="J2" s="79" t="s">
        <v>8</v>
      </c>
      <c r="K2" s="80"/>
      <c r="L2" s="81"/>
      <c r="M2" s="69" t="s">
        <v>9</v>
      </c>
      <c r="N2" s="69"/>
      <c r="O2" s="69"/>
      <c r="P2" s="69" t="s">
        <v>10</v>
      </c>
      <c r="Q2" s="69" t="s">
        <v>11</v>
      </c>
    </row>
    <row r="3" spans="1:17" ht="15" customHeight="1" x14ac:dyDescent="0.25">
      <c r="A3" s="63"/>
      <c r="B3" s="63"/>
      <c r="C3" s="75"/>
      <c r="D3" s="76"/>
      <c r="E3" s="76"/>
      <c r="F3" s="4" t="s">
        <v>5</v>
      </c>
      <c r="G3" s="4" t="s">
        <v>6</v>
      </c>
      <c r="H3" s="4" t="s">
        <v>21</v>
      </c>
      <c r="I3" s="76"/>
      <c r="J3" s="4" t="s">
        <v>18</v>
      </c>
      <c r="K3" s="3" t="s">
        <v>19</v>
      </c>
      <c r="L3" s="3" t="s">
        <v>12</v>
      </c>
      <c r="M3" s="3" t="s">
        <v>13</v>
      </c>
      <c r="N3" s="3" t="s">
        <v>19</v>
      </c>
      <c r="O3" s="3" t="s">
        <v>12</v>
      </c>
      <c r="P3" s="69"/>
      <c r="Q3" s="69"/>
    </row>
    <row r="4" spans="1:17" s="7" customFormat="1" ht="22.9" customHeight="1" x14ac:dyDescent="0.25">
      <c r="A4" s="8"/>
      <c r="B4" s="64" t="s">
        <v>28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5"/>
    </row>
    <row r="5" spans="1:17" s="9" customFormat="1" ht="20.100000000000001" customHeight="1" x14ac:dyDescent="0.25">
      <c r="A5" s="15">
        <v>1</v>
      </c>
      <c r="B5" s="16" t="s">
        <v>53</v>
      </c>
      <c r="C5" s="15"/>
      <c r="D5" s="15">
        <v>1</v>
      </c>
      <c r="E5" s="15"/>
      <c r="F5" s="15">
        <v>1900</v>
      </c>
      <c r="G5" s="15">
        <v>850</v>
      </c>
      <c r="H5" s="15">
        <v>450</v>
      </c>
      <c r="I5" s="17" t="s">
        <v>25</v>
      </c>
      <c r="J5" s="15"/>
      <c r="K5" s="15"/>
      <c r="L5" s="15"/>
      <c r="M5" s="15"/>
      <c r="N5" s="15"/>
      <c r="O5" s="15"/>
      <c r="P5" s="15"/>
      <c r="Q5" s="15"/>
    </row>
    <row r="6" spans="1:17" s="9" customFormat="1" ht="20.100000000000001" customHeight="1" x14ac:dyDescent="0.25">
      <c r="A6" s="15">
        <f>A5+1</f>
        <v>2</v>
      </c>
      <c r="B6" s="16" t="s">
        <v>54</v>
      </c>
      <c r="C6" s="15"/>
      <c r="D6" s="15">
        <v>1</v>
      </c>
      <c r="E6" s="15"/>
      <c r="F6" s="15">
        <v>72</v>
      </c>
      <c r="G6" s="15">
        <v>42</v>
      </c>
      <c r="H6" s="15">
        <v>20</v>
      </c>
      <c r="I6" s="17" t="s">
        <v>26</v>
      </c>
      <c r="J6" s="18"/>
      <c r="K6" s="18"/>
      <c r="L6" s="18"/>
      <c r="M6" s="18"/>
      <c r="N6" s="18"/>
      <c r="O6" s="18"/>
      <c r="P6" s="18"/>
      <c r="Q6" s="19" t="s">
        <v>34</v>
      </c>
    </row>
    <row r="7" spans="1:17" s="9" customFormat="1" ht="20.100000000000001" customHeight="1" x14ac:dyDescent="0.25">
      <c r="A7" s="15">
        <f t="shared" ref="A7:A52" si="0">A6+1</f>
        <v>3</v>
      </c>
      <c r="B7" s="16" t="s">
        <v>55</v>
      </c>
      <c r="C7" s="15"/>
      <c r="D7" s="15">
        <v>1</v>
      </c>
      <c r="E7" s="15"/>
      <c r="F7" s="15">
        <v>71</v>
      </c>
      <c r="G7" s="15">
        <v>70</v>
      </c>
      <c r="H7" s="15">
        <v>20</v>
      </c>
      <c r="I7" s="17" t="s">
        <v>26</v>
      </c>
      <c r="J7" s="18"/>
      <c r="K7" s="18"/>
      <c r="L7" s="18"/>
      <c r="M7" s="18"/>
      <c r="N7" s="18"/>
      <c r="O7" s="18"/>
      <c r="P7" s="18"/>
      <c r="Q7" s="19" t="s">
        <v>34</v>
      </c>
    </row>
    <row r="8" spans="1:17" s="9" customFormat="1" ht="20.100000000000001" customHeight="1" x14ac:dyDescent="0.25">
      <c r="A8" s="15">
        <f t="shared" si="0"/>
        <v>4</v>
      </c>
      <c r="B8" s="16" t="s">
        <v>56</v>
      </c>
      <c r="C8" s="15"/>
      <c r="D8" s="15">
        <v>1</v>
      </c>
      <c r="E8" s="15"/>
      <c r="F8" s="15">
        <v>150</v>
      </c>
      <c r="G8" s="15">
        <v>88</v>
      </c>
      <c r="H8" s="15">
        <v>50</v>
      </c>
      <c r="I8" s="17" t="s">
        <v>26</v>
      </c>
      <c r="J8" s="18"/>
      <c r="K8" s="18"/>
      <c r="L8" s="18"/>
      <c r="M8" s="18"/>
      <c r="N8" s="18"/>
      <c r="O8" s="18"/>
      <c r="P8" s="18"/>
      <c r="Q8" s="19" t="s">
        <v>34</v>
      </c>
    </row>
    <row r="9" spans="1:17" s="9" customFormat="1" ht="20.100000000000001" customHeight="1" x14ac:dyDescent="0.25">
      <c r="A9" s="15">
        <f t="shared" si="0"/>
        <v>5</v>
      </c>
      <c r="B9" s="16" t="s">
        <v>57</v>
      </c>
      <c r="C9" s="15"/>
      <c r="D9" s="15">
        <v>1</v>
      </c>
      <c r="E9" s="15"/>
      <c r="F9" s="15">
        <v>110</v>
      </c>
      <c r="G9" s="15">
        <v>75</v>
      </c>
      <c r="H9" s="15">
        <v>35</v>
      </c>
      <c r="I9" s="17" t="s">
        <v>26</v>
      </c>
      <c r="J9" s="18"/>
      <c r="K9" s="18"/>
      <c r="L9" s="18"/>
      <c r="M9" s="18"/>
      <c r="N9" s="18"/>
      <c r="O9" s="18"/>
      <c r="P9" s="18"/>
      <c r="Q9" s="19" t="s">
        <v>34</v>
      </c>
    </row>
    <row r="10" spans="1:17" s="9" customFormat="1" ht="20.100000000000001" customHeight="1" x14ac:dyDescent="0.25">
      <c r="A10" s="15">
        <f t="shared" si="0"/>
        <v>6</v>
      </c>
      <c r="B10" s="16" t="s">
        <v>58</v>
      </c>
      <c r="C10" s="15"/>
      <c r="D10" s="15">
        <v>1</v>
      </c>
      <c r="E10" s="15"/>
      <c r="F10" s="15">
        <v>110</v>
      </c>
      <c r="G10" s="15">
        <v>75</v>
      </c>
      <c r="H10" s="15">
        <v>35</v>
      </c>
      <c r="I10" s="17" t="s">
        <v>26</v>
      </c>
      <c r="J10" s="18"/>
      <c r="K10" s="18"/>
      <c r="L10" s="18"/>
      <c r="M10" s="18"/>
      <c r="N10" s="18"/>
      <c r="O10" s="18"/>
      <c r="P10" s="18"/>
      <c r="Q10" s="19" t="s">
        <v>34</v>
      </c>
    </row>
    <row r="11" spans="1:17" s="9" customFormat="1" ht="20.100000000000001" customHeight="1" x14ac:dyDescent="0.25">
      <c r="A11" s="15">
        <f t="shared" si="0"/>
        <v>7</v>
      </c>
      <c r="B11" s="16" t="s">
        <v>59</v>
      </c>
      <c r="C11" s="15"/>
      <c r="D11" s="15">
        <v>1</v>
      </c>
      <c r="E11" s="15"/>
      <c r="F11" s="15">
        <v>150</v>
      </c>
      <c r="G11" s="15">
        <v>88</v>
      </c>
      <c r="H11" s="15">
        <v>50</v>
      </c>
      <c r="I11" s="17" t="s">
        <v>26</v>
      </c>
      <c r="J11" s="18"/>
      <c r="K11" s="18"/>
      <c r="L11" s="18"/>
      <c r="M11" s="18"/>
      <c r="N11" s="18"/>
      <c r="O11" s="18"/>
      <c r="P11" s="18"/>
      <c r="Q11" s="19" t="s">
        <v>34</v>
      </c>
    </row>
    <row r="12" spans="1:17" s="9" customFormat="1" ht="20.100000000000001" customHeight="1" x14ac:dyDescent="0.25">
      <c r="A12" s="15">
        <f t="shared" si="0"/>
        <v>8</v>
      </c>
      <c r="B12" s="16" t="s">
        <v>73</v>
      </c>
      <c r="C12" s="15"/>
      <c r="D12" s="15">
        <v>2</v>
      </c>
      <c r="E12" s="15"/>
      <c r="F12" s="77" t="s">
        <v>60</v>
      </c>
      <c r="G12" s="78"/>
      <c r="H12" s="15">
        <v>50</v>
      </c>
      <c r="I12" s="17" t="s">
        <v>26</v>
      </c>
      <c r="J12" s="18"/>
      <c r="K12" s="18"/>
      <c r="L12" s="18"/>
      <c r="M12" s="18"/>
      <c r="N12" s="18"/>
      <c r="O12" s="18"/>
      <c r="P12" s="18"/>
      <c r="Q12" s="19" t="s">
        <v>34</v>
      </c>
    </row>
    <row r="13" spans="1:17" s="9" customFormat="1" ht="20.100000000000001" customHeight="1" x14ac:dyDescent="0.25">
      <c r="A13" s="15">
        <f t="shared" si="0"/>
        <v>9</v>
      </c>
      <c r="B13" s="20" t="s">
        <v>30</v>
      </c>
      <c r="C13" s="15"/>
      <c r="D13" s="15">
        <v>1</v>
      </c>
      <c r="E13" s="15"/>
      <c r="F13" s="15">
        <v>142</v>
      </c>
      <c r="G13" s="15">
        <v>135</v>
      </c>
      <c r="H13" s="15">
        <v>72</v>
      </c>
      <c r="I13" s="18" t="s">
        <v>180</v>
      </c>
      <c r="J13" s="18"/>
      <c r="K13" s="18"/>
      <c r="L13" s="18"/>
      <c r="M13" s="18"/>
      <c r="N13" s="18"/>
      <c r="O13" s="18"/>
      <c r="P13" s="19" t="s">
        <v>80</v>
      </c>
      <c r="Q13" s="19" t="s">
        <v>181</v>
      </c>
    </row>
    <row r="14" spans="1:17" s="9" customFormat="1" ht="20.100000000000001" customHeight="1" x14ac:dyDescent="0.25">
      <c r="A14" s="15">
        <f t="shared" si="0"/>
        <v>10</v>
      </c>
      <c r="B14" s="20" t="s">
        <v>31</v>
      </c>
      <c r="C14" s="15"/>
      <c r="D14" s="15">
        <v>1</v>
      </c>
      <c r="E14" s="15"/>
      <c r="F14" s="15">
        <v>142</v>
      </c>
      <c r="G14" s="15">
        <v>135</v>
      </c>
      <c r="H14" s="15">
        <v>72</v>
      </c>
      <c r="I14" s="18" t="s">
        <v>180</v>
      </c>
      <c r="J14" s="18"/>
      <c r="K14" s="18"/>
      <c r="L14" s="18"/>
      <c r="M14" s="18"/>
      <c r="N14" s="18"/>
      <c r="O14" s="18"/>
      <c r="P14" s="19" t="s">
        <v>80</v>
      </c>
      <c r="Q14" s="19" t="s">
        <v>181</v>
      </c>
    </row>
    <row r="15" spans="1:17" s="9" customFormat="1" ht="19.5" customHeight="1" x14ac:dyDescent="0.25">
      <c r="A15" s="15">
        <f t="shared" si="0"/>
        <v>11</v>
      </c>
      <c r="B15" s="20" t="s">
        <v>32</v>
      </c>
      <c r="C15" s="15"/>
      <c r="D15" s="15">
        <v>1</v>
      </c>
      <c r="E15" s="15"/>
      <c r="F15" s="15">
        <v>130</v>
      </c>
      <c r="G15" s="15">
        <v>65</v>
      </c>
      <c r="H15" s="15">
        <v>68</v>
      </c>
      <c r="I15" s="18" t="s">
        <v>130</v>
      </c>
      <c r="J15" s="18"/>
      <c r="K15" s="18"/>
      <c r="L15" s="18"/>
      <c r="M15" s="18"/>
      <c r="N15" s="18"/>
      <c r="O15" s="18"/>
      <c r="P15" s="19"/>
      <c r="Q15" s="19"/>
    </row>
    <row r="16" spans="1:17" s="9" customFormat="1" ht="20.100000000000001" customHeight="1" x14ac:dyDescent="0.25">
      <c r="A16" s="15">
        <f t="shared" si="0"/>
        <v>12</v>
      </c>
      <c r="B16" s="20" t="s">
        <v>33</v>
      </c>
      <c r="C16" s="15"/>
      <c r="D16" s="15">
        <v>1</v>
      </c>
      <c r="E16" s="15"/>
      <c r="F16" s="15">
        <v>130</v>
      </c>
      <c r="G16" s="15">
        <v>70</v>
      </c>
      <c r="H16" s="15">
        <v>68</v>
      </c>
      <c r="I16" s="18" t="s">
        <v>130</v>
      </c>
      <c r="J16" s="18"/>
      <c r="K16" s="18"/>
      <c r="L16" s="18"/>
      <c r="M16" s="18"/>
      <c r="N16" s="18"/>
      <c r="O16" s="18"/>
      <c r="P16" s="19"/>
      <c r="Q16" s="19"/>
    </row>
    <row r="17" spans="1:17" s="9" customFormat="1" ht="20.100000000000001" customHeight="1" x14ac:dyDescent="0.25">
      <c r="A17" s="15">
        <f t="shared" si="0"/>
        <v>13</v>
      </c>
      <c r="B17" s="20" t="s">
        <v>36</v>
      </c>
      <c r="C17" s="15"/>
      <c r="D17" s="15">
        <v>1</v>
      </c>
      <c r="E17" s="15"/>
      <c r="F17" s="15">
        <v>185</v>
      </c>
      <c r="G17" s="15">
        <v>150</v>
      </c>
      <c r="H17" s="15">
        <v>69</v>
      </c>
      <c r="I17" s="18" t="s">
        <v>180</v>
      </c>
      <c r="J17" s="18"/>
      <c r="K17" s="18"/>
      <c r="L17" s="18"/>
      <c r="M17" s="18"/>
      <c r="N17" s="18"/>
      <c r="O17" s="18"/>
      <c r="P17" s="19" t="s">
        <v>80</v>
      </c>
      <c r="Q17" s="19" t="s">
        <v>181</v>
      </c>
    </row>
    <row r="18" spans="1:17" s="9" customFormat="1" ht="20.100000000000001" customHeight="1" x14ac:dyDescent="0.25">
      <c r="A18" s="15">
        <f t="shared" si="0"/>
        <v>14</v>
      </c>
      <c r="B18" s="20" t="s">
        <v>43</v>
      </c>
      <c r="C18" s="15"/>
      <c r="D18" s="15">
        <v>1</v>
      </c>
      <c r="E18" s="15"/>
      <c r="F18" s="15">
        <v>185</v>
      </c>
      <c r="G18" s="15">
        <v>150</v>
      </c>
      <c r="H18" s="15">
        <v>69</v>
      </c>
      <c r="I18" s="18" t="s">
        <v>180</v>
      </c>
      <c r="J18" s="18"/>
      <c r="K18" s="18"/>
      <c r="L18" s="18"/>
      <c r="M18" s="18"/>
      <c r="N18" s="18"/>
      <c r="O18" s="18"/>
      <c r="P18" s="19" t="s">
        <v>80</v>
      </c>
      <c r="Q18" s="19" t="s">
        <v>181</v>
      </c>
    </row>
    <row r="19" spans="1:17" s="9" customFormat="1" ht="20.100000000000001" customHeight="1" x14ac:dyDescent="0.25">
      <c r="A19" s="15">
        <f t="shared" si="0"/>
        <v>15</v>
      </c>
      <c r="B19" s="20" t="s">
        <v>44</v>
      </c>
      <c r="C19" s="15"/>
      <c r="D19" s="15">
        <v>1</v>
      </c>
      <c r="E19" s="15"/>
      <c r="F19" s="15">
        <v>170</v>
      </c>
      <c r="G19" s="15">
        <v>170</v>
      </c>
      <c r="H19" s="15">
        <v>68</v>
      </c>
      <c r="I19" s="18" t="s">
        <v>180</v>
      </c>
      <c r="J19" s="18"/>
      <c r="K19" s="18"/>
      <c r="L19" s="18"/>
      <c r="M19" s="18"/>
      <c r="N19" s="18"/>
      <c r="O19" s="18"/>
      <c r="P19" s="19" t="s">
        <v>80</v>
      </c>
      <c r="Q19" s="19" t="s">
        <v>181</v>
      </c>
    </row>
    <row r="20" spans="1:17" s="9" customFormat="1" ht="20.100000000000001" customHeight="1" x14ac:dyDescent="0.25">
      <c r="A20" s="15">
        <f t="shared" si="0"/>
        <v>16</v>
      </c>
      <c r="B20" s="20" t="s">
        <v>45</v>
      </c>
      <c r="C20" s="15"/>
      <c r="D20" s="15">
        <v>1</v>
      </c>
      <c r="E20" s="15"/>
      <c r="F20" s="15">
        <v>170</v>
      </c>
      <c r="G20" s="15">
        <v>170</v>
      </c>
      <c r="H20" s="15">
        <v>68</v>
      </c>
      <c r="I20" s="18" t="s">
        <v>180</v>
      </c>
      <c r="J20" s="18"/>
      <c r="K20" s="18"/>
      <c r="L20" s="18"/>
      <c r="M20" s="18"/>
      <c r="N20" s="18"/>
      <c r="O20" s="18"/>
      <c r="P20" s="19" t="s">
        <v>80</v>
      </c>
      <c r="Q20" s="19" t="s">
        <v>181</v>
      </c>
    </row>
    <row r="21" spans="1:17" s="9" customFormat="1" ht="20.100000000000001" customHeight="1" x14ac:dyDescent="0.25">
      <c r="A21" s="15">
        <f t="shared" si="0"/>
        <v>17</v>
      </c>
      <c r="B21" s="20" t="s">
        <v>46</v>
      </c>
      <c r="C21" s="15"/>
      <c r="D21" s="15">
        <v>1</v>
      </c>
      <c r="E21" s="15"/>
      <c r="F21" s="15">
        <v>145</v>
      </c>
      <c r="G21" s="15">
        <v>100</v>
      </c>
      <c r="H21" s="15">
        <v>59</v>
      </c>
      <c r="I21" s="18" t="s">
        <v>180</v>
      </c>
      <c r="J21" s="18"/>
      <c r="K21" s="18"/>
      <c r="L21" s="18"/>
      <c r="M21" s="18"/>
      <c r="N21" s="18"/>
      <c r="O21" s="18"/>
      <c r="P21" s="19" t="s">
        <v>80</v>
      </c>
      <c r="Q21" s="19" t="s">
        <v>181</v>
      </c>
    </row>
    <row r="22" spans="1:17" s="9" customFormat="1" ht="20.100000000000001" customHeight="1" x14ac:dyDescent="0.25">
      <c r="A22" s="15">
        <f t="shared" si="0"/>
        <v>18</v>
      </c>
      <c r="B22" s="20" t="s">
        <v>61</v>
      </c>
      <c r="C22" s="15"/>
      <c r="D22" s="15">
        <v>1</v>
      </c>
      <c r="E22" s="15"/>
      <c r="F22" s="15">
        <v>145</v>
      </c>
      <c r="G22" s="15">
        <v>100</v>
      </c>
      <c r="H22" s="15">
        <v>59</v>
      </c>
      <c r="I22" s="18" t="s">
        <v>180</v>
      </c>
      <c r="J22" s="18"/>
      <c r="K22" s="18"/>
      <c r="L22" s="18"/>
      <c r="M22" s="18"/>
      <c r="N22" s="18"/>
      <c r="O22" s="18"/>
      <c r="P22" s="19" t="s">
        <v>80</v>
      </c>
      <c r="Q22" s="19" t="s">
        <v>181</v>
      </c>
    </row>
    <row r="23" spans="1:17" s="9" customFormat="1" ht="20.100000000000001" customHeight="1" x14ac:dyDescent="0.25">
      <c r="A23" s="15">
        <f t="shared" si="0"/>
        <v>19</v>
      </c>
      <c r="B23" s="20" t="s">
        <v>62</v>
      </c>
      <c r="C23" s="15"/>
      <c r="D23" s="15">
        <v>1</v>
      </c>
      <c r="E23" s="15"/>
      <c r="F23" s="15">
        <v>95</v>
      </c>
      <c r="G23" s="15">
        <v>90</v>
      </c>
      <c r="H23" s="15">
        <v>63</v>
      </c>
      <c r="I23" s="18" t="s">
        <v>130</v>
      </c>
      <c r="J23" s="18"/>
      <c r="K23" s="18"/>
      <c r="L23" s="18"/>
      <c r="M23" s="18"/>
      <c r="N23" s="18"/>
      <c r="O23" s="18"/>
      <c r="P23" s="19"/>
      <c r="Q23" s="19"/>
    </row>
    <row r="24" spans="1:17" s="9" customFormat="1" ht="20.100000000000001" customHeight="1" x14ac:dyDescent="0.25">
      <c r="A24" s="15">
        <f t="shared" si="0"/>
        <v>20</v>
      </c>
      <c r="B24" s="20" t="s">
        <v>63</v>
      </c>
      <c r="C24" s="15"/>
      <c r="D24" s="15">
        <v>1</v>
      </c>
      <c r="E24" s="15"/>
      <c r="F24" s="15">
        <v>95</v>
      </c>
      <c r="G24" s="15">
        <v>90</v>
      </c>
      <c r="H24" s="15">
        <v>63</v>
      </c>
      <c r="I24" s="18" t="s">
        <v>130</v>
      </c>
      <c r="J24" s="18"/>
      <c r="K24" s="18"/>
      <c r="L24" s="18"/>
      <c r="M24" s="18"/>
      <c r="N24" s="18"/>
      <c r="O24" s="18"/>
      <c r="P24" s="19"/>
      <c r="Q24" s="19"/>
    </row>
    <row r="25" spans="1:17" s="9" customFormat="1" ht="20.100000000000001" customHeight="1" x14ac:dyDescent="0.25">
      <c r="A25" s="15">
        <f t="shared" si="0"/>
        <v>21</v>
      </c>
      <c r="B25" s="20" t="s">
        <v>64</v>
      </c>
      <c r="C25" s="15"/>
      <c r="D25" s="15">
        <v>1</v>
      </c>
      <c r="E25" s="15"/>
      <c r="F25" s="15">
        <v>155</v>
      </c>
      <c r="G25" s="15">
        <v>95</v>
      </c>
      <c r="H25" s="15">
        <v>70</v>
      </c>
      <c r="I25" s="18" t="s">
        <v>130</v>
      </c>
      <c r="J25" s="18"/>
      <c r="K25" s="18"/>
      <c r="L25" s="18"/>
      <c r="M25" s="18"/>
      <c r="N25" s="18"/>
      <c r="O25" s="18"/>
      <c r="P25" s="19"/>
      <c r="Q25" s="19"/>
    </row>
    <row r="26" spans="1:17" s="9" customFormat="1" ht="20.100000000000001" customHeight="1" x14ac:dyDescent="0.25">
      <c r="A26" s="15">
        <f t="shared" si="0"/>
        <v>22</v>
      </c>
      <c r="B26" s="20" t="s">
        <v>65</v>
      </c>
      <c r="C26" s="15"/>
      <c r="D26" s="15">
        <v>1</v>
      </c>
      <c r="E26" s="15"/>
      <c r="F26" s="15">
        <v>155</v>
      </c>
      <c r="G26" s="15">
        <v>95</v>
      </c>
      <c r="H26" s="15">
        <v>70</v>
      </c>
      <c r="I26" s="18" t="s">
        <v>130</v>
      </c>
      <c r="J26" s="18"/>
      <c r="K26" s="18"/>
      <c r="L26" s="18"/>
      <c r="M26" s="18"/>
      <c r="N26" s="18"/>
      <c r="O26" s="18"/>
      <c r="P26" s="19"/>
      <c r="Q26" s="19"/>
    </row>
    <row r="27" spans="1:17" s="9" customFormat="1" ht="20.100000000000001" customHeight="1" x14ac:dyDescent="0.25">
      <c r="A27" s="15">
        <f t="shared" si="0"/>
        <v>23</v>
      </c>
      <c r="B27" s="20" t="s">
        <v>66</v>
      </c>
      <c r="C27" s="15"/>
      <c r="D27" s="15">
        <v>1</v>
      </c>
      <c r="E27" s="15"/>
      <c r="F27" s="15">
        <v>210</v>
      </c>
      <c r="G27" s="15">
        <v>105</v>
      </c>
      <c r="H27" s="15">
        <v>77</v>
      </c>
      <c r="I27" s="18" t="s">
        <v>130</v>
      </c>
      <c r="J27" s="18"/>
      <c r="K27" s="18"/>
      <c r="L27" s="18"/>
      <c r="M27" s="18"/>
      <c r="N27" s="18"/>
      <c r="O27" s="18"/>
      <c r="P27" s="19"/>
      <c r="Q27" s="19"/>
    </row>
    <row r="28" spans="1:17" s="9" customFormat="1" ht="20.100000000000001" customHeight="1" x14ac:dyDescent="0.25">
      <c r="A28" s="15">
        <f t="shared" si="0"/>
        <v>24</v>
      </c>
      <c r="B28" s="20" t="s">
        <v>67</v>
      </c>
      <c r="C28" s="15"/>
      <c r="D28" s="15">
        <v>1</v>
      </c>
      <c r="E28" s="15"/>
      <c r="F28" s="15">
        <v>210</v>
      </c>
      <c r="G28" s="15">
        <v>105</v>
      </c>
      <c r="H28" s="15">
        <v>77</v>
      </c>
      <c r="I28" s="18" t="s">
        <v>130</v>
      </c>
      <c r="J28" s="18"/>
      <c r="K28" s="18"/>
      <c r="L28" s="18"/>
      <c r="M28" s="18"/>
      <c r="N28" s="18"/>
      <c r="O28" s="18"/>
      <c r="P28" s="19"/>
      <c r="Q28" s="19"/>
    </row>
    <row r="29" spans="1:17" s="9" customFormat="1" ht="20.100000000000001" customHeight="1" x14ac:dyDescent="0.25">
      <c r="A29" s="15">
        <f t="shared" si="0"/>
        <v>25</v>
      </c>
      <c r="B29" s="20" t="s">
        <v>68</v>
      </c>
      <c r="C29" s="15"/>
      <c r="D29" s="15">
        <v>1</v>
      </c>
      <c r="E29" s="15"/>
      <c r="F29" s="15">
        <v>160</v>
      </c>
      <c r="G29" s="15">
        <v>125</v>
      </c>
      <c r="H29" s="15">
        <v>72</v>
      </c>
      <c r="I29" s="18" t="s">
        <v>180</v>
      </c>
      <c r="J29" s="18"/>
      <c r="K29" s="18"/>
      <c r="L29" s="18"/>
      <c r="M29" s="18"/>
      <c r="N29" s="18"/>
      <c r="O29" s="18"/>
      <c r="P29" s="19" t="s">
        <v>80</v>
      </c>
      <c r="Q29" s="19" t="s">
        <v>181</v>
      </c>
    </row>
    <row r="30" spans="1:17" s="9" customFormat="1" ht="20.100000000000001" customHeight="1" x14ac:dyDescent="0.25">
      <c r="A30" s="15">
        <f t="shared" si="0"/>
        <v>26</v>
      </c>
      <c r="B30" s="20" t="s">
        <v>69</v>
      </c>
      <c r="C30" s="15"/>
      <c r="D30" s="15">
        <v>1</v>
      </c>
      <c r="E30" s="15"/>
      <c r="F30" s="15">
        <v>210</v>
      </c>
      <c r="G30" s="15">
        <v>125</v>
      </c>
      <c r="H30" s="15">
        <v>65</v>
      </c>
      <c r="I30" s="18" t="s">
        <v>180</v>
      </c>
      <c r="J30" s="18"/>
      <c r="K30" s="18"/>
      <c r="L30" s="18"/>
      <c r="M30" s="18"/>
      <c r="N30" s="18"/>
      <c r="O30" s="18"/>
      <c r="P30" s="19" t="s">
        <v>80</v>
      </c>
      <c r="Q30" s="19" t="s">
        <v>181</v>
      </c>
    </row>
    <row r="31" spans="1:17" s="9" customFormat="1" ht="20.100000000000001" customHeight="1" x14ac:dyDescent="0.25">
      <c r="A31" s="15">
        <f t="shared" si="0"/>
        <v>27</v>
      </c>
      <c r="B31" s="20" t="s">
        <v>70</v>
      </c>
      <c r="C31" s="15"/>
      <c r="D31" s="15">
        <v>1</v>
      </c>
      <c r="E31" s="15"/>
      <c r="F31" s="15">
        <v>105</v>
      </c>
      <c r="G31" s="15">
        <v>70</v>
      </c>
      <c r="H31" s="15">
        <v>70</v>
      </c>
      <c r="I31" s="18" t="s">
        <v>130</v>
      </c>
      <c r="J31" s="18"/>
      <c r="K31" s="18"/>
      <c r="L31" s="18"/>
      <c r="M31" s="18"/>
      <c r="N31" s="18"/>
      <c r="O31" s="18"/>
      <c r="P31" s="19"/>
      <c r="Q31" s="19"/>
    </row>
    <row r="32" spans="1:17" s="9" customFormat="1" ht="20.100000000000001" customHeight="1" x14ac:dyDescent="0.25">
      <c r="A32" s="15">
        <f t="shared" si="0"/>
        <v>28</v>
      </c>
      <c r="B32" s="20" t="s">
        <v>71</v>
      </c>
      <c r="C32" s="15"/>
      <c r="D32" s="15">
        <v>1</v>
      </c>
      <c r="E32" s="15"/>
      <c r="F32" s="15">
        <v>105</v>
      </c>
      <c r="G32" s="15">
        <v>70</v>
      </c>
      <c r="H32" s="15">
        <v>70</v>
      </c>
      <c r="I32" s="18" t="s">
        <v>130</v>
      </c>
      <c r="J32" s="18"/>
      <c r="K32" s="18"/>
      <c r="L32" s="18"/>
      <c r="M32" s="18"/>
      <c r="N32" s="18"/>
      <c r="O32" s="18"/>
      <c r="P32" s="19"/>
      <c r="Q32" s="19"/>
    </row>
    <row r="33" spans="1:17" s="9" customFormat="1" ht="20.100000000000001" customHeight="1" x14ac:dyDescent="0.25">
      <c r="A33" s="15">
        <f t="shared" si="0"/>
        <v>29</v>
      </c>
      <c r="B33" s="20" t="s">
        <v>72</v>
      </c>
      <c r="C33" s="15"/>
      <c r="D33" s="15">
        <v>4</v>
      </c>
      <c r="E33" s="15"/>
      <c r="F33" s="18">
        <v>250</v>
      </c>
      <c r="G33" s="21">
        <v>40</v>
      </c>
      <c r="H33" s="15">
        <v>10</v>
      </c>
      <c r="I33" s="19" t="s">
        <v>22</v>
      </c>
      <c r="J33" s="18"/>
      <c r="K33" s="18"/>
      <c r="L33" s="18"/>
      <c r="M33" s="18"/>
      <c r="N33" s="18"/>
      <c r="O33" s="18"/>
      <c r="P33" s="18"/>
      <c r="Q33" s="19"/>
    </row>
    <row r="34" spans="1:17" s="9" customFormat="1" ht="20.100000000000001" customHeight="1" x14ac:dyDescent="0.25">
      <c r="A34" s="15">
        <f t="shared" si="0"/>
        <v>30</v>
      </c>
      <c r="B34" s="20" t="s">
        <v>131</v>
      </c>
      <c r="C34" s="15"/>
      <c r="D34" s="15">
        <v>4</v>
      </c>
      <c r="E34" s="15"/>
      <c r="F34" s="15">
        <v>95</v>
      </c>
      <c r="G34" s="15">
        <v>50</v>
      </c>
      <c r="H34" s="15">
        <v>25</v>
      </c>
      <c r="I34" s="18" t="s">
        <v>35</v>
      </c>
      <c r="J34" s="18"/>
      <c r="K34" s="18"/>
      <c r="L34" s="18"/>
      <c r="M34" s="18"/>
      <c r="N34" s="18"/>
      <c r="O34" s="18"/>
      <c r="P34" s="18"/>
      <c r="Q34" s="19"/>
    </row>
    <row r="35" spans="1:17" s="9" customFormat="1" ht="20.100000000000001" customHeight="1" x14ac:dyDescent="0.25">
      <c r="A35" s="15">
        <f t="shared" si="0"/>
        <v>31</v>
      </c>
      <c r="B35" s="20" t="s">
        <v>132</v>
      </c>
      <c r="C35" s="15"/>
      <c r="D35" s="15">
        <v>4</v>
      </c>
      <c r="E35" s="15"/>
      <c r="F35" s="15">
        <v>95</v>
      </c>
      <c r="G35" s="15">
        <v>50</v>
      </c>
      <c r="H35" s="15">
        <v>25</v>
      </c>
      <c r="I35" s="18" t="s">
        <v>35</v>
      </c>
      <c r="J35" s="18"/>
      <c r="K35" s="18"/>
      <c r="L35" s="18"/>
      <c r="M35" s="18"/>
      <c r="N35" s="18"/>
      <c r="O35" s="18"/>
      <c r="P35" s="18"/>
      <c r="Q35" s="19"/>
    </row>
    <row r="36" spans="1:17" s="9" customFormat="1" ht="20.100000000000001" customHeight="1" x14ac:dyDescent="0.25">
      <c r="A36" s="15">
        <f t="shared" si="0"/>
        <v>32</v>
      </c>
      <c r="B36" s="20"/>
      <c r="C36" s="15"/>
      <c r="D36" s="15"/>
      <c r="E36" s="15"/>
      <c r="F36" s="18"/>
      <c r="G36" s="21"/>
      <c r="H36" s="15"/>
      <c r="I36" s="19"/>
      <c r="J36" s="18"/>
      <c r="K36" s="18"/>
      <c r="L36" s="18"/>
      <c r="M36" s="18"/>
      <c r="N36" s="18"/>
      <c r="O36" s="18"/>
      <c r="P36" s="18"/>
      <c r="Q36" s="19"/>
    </row>
    <row r="37" spans="1:17" s="9" customFormat="1" ht="20.100000000000001" customHeight="1" x14ac:dyDescent="0.25">
      <c r="A37" s="15">
        <f t="shared" si="0"/>
        <v>33</v>
      </c>
      <c r="B37" s="16" t="s">
        <v>74</v>
      </c>
      <c r="C37" s="15"/>
      <c r="D37" s="15">
        <v>2</v>
      </c>
      <c r="E37" s="15"/>
      <c r="F37" s="77" t="s">
        <v>75</v>
      </c>
      <c r="G37" s="78"/>
      <c r="H37" s="15">
        <v>25</v>
      </c>
      <c r="I37" s="17" t="s">
        <v>26</v>
      </c>
      <c r="J37" s="18"/>
      <c r="K37" s="18"/>
      <c r="L37" s="18"/>
      <c r="M37" s="18"/>
      <c r="N37" s="18"/>
      <c r="O37" s="18"/>
      <c r="P37" s="18"/>
      <c r="Q37" s="19" t="s">
        <v>34</v>
      </c>
    </row>
    <row r="38" spans="1:17" s="9" customFormat="1" ht="20.100000000000001" customHeight="1" x14ac:dyDescent="0.25">
      <c r="A38" s="15">
        <f t="shared" si="0"/>
        <v>34</v>
      </c>
      <c r="B38" s="20" t="s">
        <v>79</v>
      </c>
      <c r="C38" s="15"/>
      <c r="D38" s="15">
        <v>2</v>
      </c>
      <c r="E38" s="15"/>
      <c r="F38" s="15">
        <v>180</v>
      </c>
      <c r="G38" s="15">
        <v>25</v>
      </c>
      <c r="H38" s="15">
        <v>10</v>
      </c>
      <c r="I38" s="18" t="s">
        <v>22</v>
      </c>
      <c r="J38" s="18"/>
      <c r="K38" s="18"/>
      <c r="L38" s="18"/>
      <c r="M38" s="18"/>
      <c r="N38" s="18"/>
      <c r="O38" s="18"/>
      <c r="P38" s="18"/>
      <c r="Q38" s="19"/>
    </row>
    <row r="39" spans="1:17" s="9" customFormat="1" ht="20.100000000000001" customHeight="1" x14ac:dyDescent="0.25">
      <c r="A39" s="15">
        <f t="shared" si="0"/>
        <v>35</v>
      </c>
      <c r="B39" s="20" t="s">
        <v>134</v>
      </c>
      <c r="C39" s="15"/>
      <c r="D39" s="15">
        <v>4</v>
      </c>
      <c r="E39" s="15"/>
      <c r="F39" s="77" t="s">
        <v>75</v>
      </c>
      <c r="G39" s="78"/>
      <c r="H39" s="15">
        <v>150</v>
      </c>
      <c r="I39" s="18" t="s">
        <v>22</v>
      </c>
      <c r="J39" s="18"/>
      <c r="K39" s="18"/>
      <c r="L39" s="18"/>
      <c r="M39" s="18"/>
      <c r="N39" s="18"/>
      <c r="O39" s="18"/>
      <c r="P39" s="18"/>
      <c r="Q39" s="19"/>
    </row>
    <row r="40" spans="1:17" s="9" customFormat="1" ht="20.100000000000001" customHeight="1" x14ac:dyDescent="0.25">
      <c r="A40" s="15">
        <f t="shared" si="0"/>
        <v>36</v>
      </c>
      <c r="B40" s="20" t="s">
        <v>135</v>
      </c>
      <c r="C40" s="15"/>
      <c r="D40" s="15">
        <v>1</v>
      </c>
      <c r="E40" s="15"/>
      <c r="F40" s="15">
        <v>55</v>
      </c>
      <c r="G40" s="15">
        <v>35</v>
      </c>
      <c r="H40" s="15">
        <v>17</v>
      </c>
      <c r="I40" s="18" t="s">
        <v>180</v>
      </c>
      <c r="J40" s="18"/>
      <c r="K40" s="18"/>
      <c r="L40" s="18"/>
      <c r="M40" s="18"/>
      <c r="N40" s="18"/>
      <c r="O40" s="18"/>
      <c r="P40" s="19" t="s">
        <v>80</v>
      </c>
      <c r="Q40" s="19" t="s">
        <v>181</v>
      </c>
    </row>
    <row r="41" spans="1:17" s="9" customFormat="1" ht="20.100000000000001" customHeight="1" x14ac:dyDescent="0.25">
      <c r="A41" s="15">
        <f t="shared" si="0"/>
        <v>37</v>
      </c>
      <c r="B41" s="20" t="s">
        <v>136</v>
      </c>
      <c r="C41" s="15"/>
      <c r="D41" s="15">
        <v>1</v>
      </c>
      <c r="E41" s="15"/>
      <c r="F41" s="15">
        <v>60</v>
      </c>
      <c r="G41" s="15">
        <v>30</v>
      </c>
      <c r="H41" s="15">
        <v>17</v>
      </c>
      <c r="I41" s="18" t="s">
        <v>180</v>
      </c>
      <c r="J41" s="18"/>
      <c r="K41" s="18"/>
      <c r="L41" s="18"/>
      <c r="M41" s="18"/>
      <c r="N41" s="18"/>
      <c r="O41" s="18"/>
      <c r="P41" s="19" t="s">
        <v>80</v>
      </c>
      <c r="Q41" s="19" t="s">
        <v>181</v>
      </c>
    </row>
    <row r="42" spans="1:17" s="9" customFormat="1" ht="20.100000000000001" customHeight="1" x14ac:dyDescent="0.25">
      <c r="A42" s="15">
        <f t="shared" si="0"/>
        <v>38</v>
      </c>
      <c r="B42" s="20" t="s">
        <v>137</v>
      </c>
      <c r="C42" s="15"/>
      <c r="D42" s="15">
        <v>1</v>
      </c>
      <c r="E42" s="15"/>
      <c r="F42" s="15">
        <v>60</v>
      </c>
      <c r="G42" s="15">
        <v>30</v>
      </c>
      <c r="H42" s="15">
        <v>17</v>
      </c>
      <c r="I42" s="18" t="s">
        <v>180</v>
      </c>
      <c r="J42" s="18"/>
      <c r="K42" s="18"/>
      <c r="L42" s="18"/>
      <c r="M42" s="18"/>
      <c r="N42" s="18"/>
      <c r="O42" s="18"/>
      <c r="P42" s="19" t="s">
        <v>80</v>
      </c>
      <c r="Q42" s="19" t="s">
        <v>181</v>
      </c>
    </row>
    <row r="43" spans="1:17" s="9" customFormat="1" ht="20.100000000000001" customHeight="1" x14ac:dyDescent="0.25">
      <c r="A43" s="15">
        <f t="shared" si="0"/>
        <v>39</v>
      </c>
      <c r="B43" s="20" t="s">
        <v>138</v>
      </c>
      <c r="C43" s="15"/>
      <c r="D43" s="15">
        <v>1</v>
      </c>
      <c r="E43" s="15"/>
      <c r="F43" s="15">
        <v>60</v>
      </c>
      <c r="G43" s="15">
        <v>30</v>
      </c>
      <c r="H43" s="15">
        <v>17</v>
      </c>
      <c r="I43" s="18" t="s">
        <v>180</v>
      </c>
      <c r="J43" s="18"/>
      <c r="K43" s="18"/>
      <c r="L43" s="18"/>
      <c r="M43" s="18"/>
      <c r="N43" s="18"/>
      <c r="O43" s="18"/>
      <c r="P43" s="19" t="s">
        <v>80</v>
      </c>
      <c r="Q43" s="19" t="s">
        <v>181</v>
      </c>
    </row>
    <row r="44" spans="1:17" s="9" customFormat="1" ht="20.100000000000001" customHeight="1" x14ac:dyDescent="0.25">
      <c r="A44" s="15">
        <f t="shared" si="0"/>
        <v>40</v>
      </c>
      <c r="B44" s="20" t="s">
        <v>139</v>
      </c>
      <c r="C44" s="15"/>
      <c r="D44" s="15">
        <v>1</v>
      </c>
      <c r="E44" s="15"/>
      <c r="F44" s="15">
        <v>60</v>
      </c>
      <c r="G44" s="15">
        <v>30</v>
      </c>
      <c r="H44" s="15">
        <v>17</v>
      </c>
      <c r="I44" s="18" t="s">
        <v>180</v>
      </c>
      <c r="J44" s="18"/>
      <c r="K44" s="18"/>
      <c r="L44" s="18"/>
      <c r="M44" s="18"/>
      <c r="N44" s="18"/>
      <c r="O44" s="18"/>
      <c r="P44" s="19" t="s">
        <v>80</v>
      </c>
      <c r="Q44" s="19" t="s">
        <v>181</v>
      </c>
    </row>
    <row r="45" spans="1:17" s="9" customFormat="1" ht="20.100000000000001" customHeight="1" x14ac:dyDescent="0.25">
      <c r="A45" s="15">
        <f t="shared" si="0"/>
        <v>41</v>
      </c>
      <c r="B45" s="20" t="s">
        <v>140</v>
      </c>
      <c r="C45" s="15"/>
      <c r="D45" s="15">
        <v>1</v>
      </c>
      <c r="E45" s="15"/>
      <c r="F45" s="15">
        <v>60</v>
      </c>
      <c r="G45" s="15">
        <v>30</v>
      </c>
      <c r="H45" s="15">
        <v>17</v>
      </c>
      <c r="I45" s="18" t="s">
        <v>180</v>
      </c>
      <c r="J45" s="18"/>
      <c r="K45" s="18"/>
      <c r="L45" s="18"/>
      <c r="M45" s="18"/>
      <c r="N45" s="18"/>
      <c r="O45" s="18"/>
      <c r="P45" s="19" t="s">
        <v>80</v>
      </c>
      <c r="Q45" s="19" t="s">
        <v>181</v>
      </c>
    </row>
    <row r="46" spans="1:17" s="9" customFormat="1" ht="20.100000000000001" customHeight="1" x14ac:dyDescent="0.25">
      <c r="A46" s="15">
        <f t="shared" si="0"/>
        <v>42</v>
      </c>
      <c r="B46" s="20" t="s">
        <v>141</v>
      </c>
      <c r="C46" s="15"/>
      <c r="D46" s="15">
        <v>1</v>
      </c>
      <c r="E46" s="15"/>
      <c r="F46" s="15">
        <v>50</v>
      </c>
      <c r="G46" s="15">
        <v>45</v>
      </c>
      <c r="H46" s="15">
        <v>17</v>
      </c>
      <c r="I46" s="18" t="s">
        <v>180</v>
      </c>
      <c r="J46" s="18"/>
      <c r="K46" s="18"/>
      <c r="L46" s="18"/>
      <c r="M46" s="18"/>
      <c r="N46" s="18"/>
      <c r="O46" s="18"/>
      <c r="P46" s="19" t="s">
        <v>80</v>
      </c>
      <c r="Q46" s="19" t="s">
        <v>181</v>
      </c>
    </row>
    <row r="47" spans="1:17" s="9" customFormat="1" ht="20.100000000000001" customHeight="1" x14ac:dyDescent="0.25">
      <c r="A47" s="15">
        <f t="shared" si="0"/>
        <v>43</v>
      </c>
      <c r="B47" s="20" t="s">
        <v>142</v>
      </c>
      <c r="C47" s="15"/>
      <c r="D47" s="15">
        <v>1</v>
      </c>
      <c r="E47" s="15"/>
      <c r="F47" s="15">
        <v>80</v>
      </c>
      <c r="G47" s="15">
        <v>40</v>
      </c>
      <c r="H47" s="15">
        <v>22</v>
      </c>
      <c r="I47" s="18" t="s">
        <v>180</v>
      </c>
      <c r="J47" s="18"/>
      <c r="K47" s="18"/>
      <c r="L47" s="18"/>
      <c r="M47" s="18"/>
      <c r="N47" s="18"/>
      <c r="O47" s="18"/>
      <c r="P47" s="19" t="s">
        <v>80</v>
      </c>
      <c r="Q47" s="19" t="s">
        <v>181</v>
      </c>
    </row>
    <row r="48" spans="1:17" s="9" customFormat="1" ht="20.100000000000001" customHeight="1" x14ac:dyDescent="0.25">
      <c r="A48" s="15">
        <f t="shared" si="0"/>
        <v>44</v>
      </c>
      <c r="B48" s="20" t="s">
        <v>143</v>
      </c>
      <c r="C48" s="15"/>
      <c r="D48" s="15">
        <v>1</v>
      </c>
      <c r="E48" s="15"/>
      <c r="F48" s="15">
        <v>55</v>
      </c>
      <c r="G48" s="15">
        <v>45</v>
      </c>
      <c r="H48" s="15">
        <v>17</v>
      </c>
      <c r="I48" s="18" t="s">
        <v>180</v>
      </c>
      <c r="J48" s="18"/>
      <c r="K48" s="18"/>
      <c r="L48" s="18"/>
      <c r="M48" s="18"/>
      <c r="N48" s="18"/>
      <c r="O48" s="18"/>
      <c r="P48" s="19" t="s">
        <v>80</v>
      </c>
      <c r="Q48" s="19" t="s">
        <v>181</v>
      </c>
    </row>
    <row r="49" spans="1:17" s="9" customFormat="1" ht="20.100000000000001" customHeight="1" x14ac:dyDescent="0.25">
      <c r="A49" s="15">
        <f t="shared" si="0"/>
        <v>45</v>
      </c>
      <c r="B49" s="20" t="s">
        <v>144</v>
      </c>
      <c r="C49" s="15"/>
      <c r="D49" s="15">
        <v>1</v>
      </c>
      <c r="E49" s="15"/>
      <c r="F49" s="15">
        <v>70</v>
      </c>
      <c r="G49" s="15">
        <v>30</v>
      </c>
      <c r="H49" s="15">
        <v>20</v>
      </c>
      <c r="I49" s="18" t="s">
        <v>180</v>
      </c>
      <c r="J49" s="18"/>
      <c r="K49" s="18"/>
      <c r="L49" s="18"/>
      <c r="M49" s="18"/>
      <c r="N49" s="18"/>
      <c r="O49" s="18"/>
      <c r="P49" s="19" t="s">
        <v>80</v>
      </c>
      <c r="Q49" s="19" t="s">
        <v>181</v>
      </c>
    </row>
    <row r="50" spans="1:17" s="9" customFormat="1" ht="20.100000000000001" customHeight="1" x14ac:dyDescent="0.25">
      <c r="A50" s="15">
        <f t="shared" si="0"/>
        <v>46</v>
      </c>
      <c r="B50" s="20" t="s">
        <v>83</v>
      </c>
      <c r="C50" s="15"/>
      <c r="D50" s="15">
        <v>4</v>
      </c>
      <c r="E50" s="15"/>
      <c r="F50" s="15">
        <v>100</v>
      </c>
      <c r="G50" s="15">
        <v>80</v>
      </c>
      <c r="H50" s="15">
        <v>51</v>
      </c>
      <c r="I50" s="17" t="s">
        <v>26</v>
      </c>
      <c r="J50" s="18"/>
      <c r="K50" s="18"/>
      <c r="L50" s="18"/>
      <c r="M50" s="18"/>
      <c r="N50" s="18"/>
      <c r="O50" s="18"/>
      <c r="P50" s="18"/>
      <c r="Q50" s="19" t="s">
        <v>34</v>
      </c>
    </row>
    <row r="51" spans="1:17" s="9" customFormat="1" ht="20.100000000000001" customHeight="1" x14ac:dyDescent="0.25">
      <c r="A51" s="15">
        <f t="shared" si="0"/>
        <v>47</v>
      </c>
      <c r="B51" s="20" t="s">
        <v>133</v>
      </c>
      <c r="C51" s="15"/>
      <c r="D51" s="15">
        <v>2</v>
      </c>
      <c r="E51" s="15"/>
      <c r="F51" s="15">
        <v>75</v>
      </c>
      <c r="G51" s="15">
        <v>40</v>
      </c>
      <c r="H51" s="15">
        <v>4</v>
      </c>
      <c r="I51" s="17" t="s">
        <v>22</v>
      </c>
      <c r="J51" s="18"/>
      <c r="K51" s="18"/>
      <c r="L51" s="18"/>
      <c r="M51" s="18"/>
      <c r="N51" s="18"/>
      <c r="O51" s="18"/>
      <c r="P51" s="18"/>
      <c r="Q51" s="19"/>
    </row>
    <row r="52" spans="1:17" s="9" customFormat="1" ht="20.100000000000001" customHeight="1" x14ac:dyDescent="0.25">
      <c r="A52" s="15">
        <f t="shared" si="0"/>
        <v>48</v>
      </c>
      <c r="B52" s="20"/>
      <c r="C52" s="15"/>
      <c r="D52" s="15"/>
      <c r="E52" s="15"/>
      <c r="F52" s="15"/>
      <c r="G52" s="15"/>
      <c r="H52" s="15"/>
      <c r="I52" s="17"/>
      <c r="J52" s="18"/>
      <c r="K52" s="18"/>
      <c r="L52" s="18"/>
      <c r="M52" s="18"/>
      <c r="N52" s="18"/>
      <c r="O52" s="18"/>
      <c r="P52" s="18"/>
      <c r="Q52" s="19"/>
    </row>
    <row r="53" spans="1:17" s="7" customFormat="1" ht="20.100000000000001" customHeight="1" x14ac:dyDescent="0.25">
      <c r="A53" s="66" t="s">
        <v>29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8"/>
    </row>
    <row r="54" spans="1:17" s="9" customFormat="1" ht="20.100000000000001" customHeight="1" x14ac:dyDescent="0.25">
      <c r="A54" s="15">
        <v>60</v>
      </c>
      <c r="B54" s="20" t="s">
        <v>85</v>
      </c>
      <c r="C54" s="22"/>
      <c r="D54" s="18">
        <v>1</v>
      </c>
      <c r="E54" s="22"/>
      <c r="F54" s="15">
        <v>1900</v>
      </c>
      <c r="G54" s="15">
        <v>850</v>
      </c>
      <c r="H54" s="15">
        <v>455</v>
      </c>
      <c r="I54" s="17" t="s">
        <v>25</v>
      </c>
      <c r="J54" s="23"/>
      <c r="K54" s="24"/>
      <c r="L54" s="23"/>
      <c r="M54" s="24"/>
      <c r="N54" s="24"/>
      <c r="O54" s="23"/>
      <c r="P54" s="19"/>
      <c r="Q54" s="19"/>
    </row>
    <row r="55" spans="1:17" s="9" customFormat="1" ht="20.100000000000001" customHeight="1" x14ac:dyDescent="0.25">
      <c r="A55" s="15">
        <f>A54+1</f>
        <v>61</v>
      </c>
      <c r="B55" s="20" t="s">
        <v>90</v>
      </c>
      <c r="C55" s="15"/>
      <c r="D55" s="15">
        <v>4</v>
      </c>
      <c r="E55" s="15"/>
      <c r="F55" s="77" t="s">
        <v>91</v>
      </c>
      <c r="G55" s="78"/>
      <c r="H55" s="15">
        <v>10</v>
      </c>
      <c r="I55" s="17" t="s">
        <v>22</v>
      </c>
      <c r="J55" s="23"/>
      <c r="K55" s="24"/>
      <c r="L55" s="23"/>
      <c r="M55" s="24"/>
      <c r="N55" s="24"/>
      <c r="O55" s="23"/>
      <c r="P55" s="19"/>
      <c r="Q55" s="19"/>
    </row>
    <row r="56" spans="1:17" s="9" customFormat="1" ht="20.100000000000001" customHeight="1" x14ac:dyDescent="0.25">
      <c r="A56" s="15">
        <f t="shared" ref="A56:A84" si="1">A55+1</f>
        <v>62</v>
      </c>
      <c r="B56" s="20" t="s">
        <v>145</v>
      </c>
      <c r="C56" s="22"/>
      <c r="D56" s="18">
        <v>1</v>
      </c>
      <c r="E56" s="22"/>
      <c r="F56" s="15">
        <v>110</v>
      </c>
      <c r="G56" s="15">
        <v>48</v>
      </c>
      <c r="H56" s="15">
        <v>30</v>
      </c>
      <c r="I56" s="17" t="s">
        <v>22</v>
      </c>
      <c r="J56" s="23"/>
      <c r="K56" s="24"/>
      <c r="L56" s="23"/>
      <c r="M56" s="24"/>
      <c r="N56" s="24"/>
      <c r="O56" s="23"/>
      <c r="P56" s="19"/>
      <c r="Q56" s="19"/>
    </row>
    <row r="57" spans="1:17" s="9" customFormat="1" ht="20.100000000000001" customHeight="1" x14ac:dyDescent="0.25">
      <c r="A57" s="15">
        <f t="shared" si="1"/>
        <v>63</v>
      </c>
      <c r="B57" s="20" t="s">
        <v>146</v>
      </c>
      <c r="C57" s="22"/>
      <c r="D57" s="18">
        <v>1</v>
      </c>
      <c r="E57" s="22"/>
      <c r="F57" s="15">
        <v>110</v>
      </c>
      <c r="G57" s="15">
        <v>48</v>
      </c>
      <c r="H57" s="15">
        <v>10</v>
      </c>
      <c r="I57" s="17" t="s">
        <v>26</v>
      </c>
      <c r="J57" s="23"/>
      <c r="K57" s="24"/>
      <c r="L57" s="23"/>
      <c r="M57" s="24"/>
      <c r="N57" s="24"/>
      <c r="O57" s="23"/>
      <c r="P57" s="19"/>
      <c r="Q57" s="19" t="s">
        <v>34</v>
      </c>
    </row>
    <row r="58" spans="1:17" s="9" customFormat="1" ht="20.100000000000001" customHeight="1" x14ac:dyDescent="0.25">
      <c r="A58" s="15">
        <f t="shared" si="1"/>
        <v>64</v>
      </c>
      <c r="B58" s="20" t="s">
        <v>117</v>
      </c>
      <c r="C58" s="22"/>
      <c r="D58" s="18">
        <v>1</v>
      </c>
      <c r="E58" s="22"/>
      <c r="F58" s="15">
        <v>110</v>
      </c>
      <c r="G58" s="15">
        <v>48</v>
      </c>
      <c r="H58" s="15">
        <v>30</v>
      </c>
      <c r="I58" s="17" t="s">
        <v>22</v>
      </c>
      <c r="J58" s="23"/>
      <c r="K58" s="24"/>
      <c r="L58" s="23"/>
      <c r="M58" s="24"/>
      <c r="N58" s="24"/>
      <c r="O58" s="23"/>
      <c r="P58" s="19"/>
      <c r="Q58" s="19"/>
    </row>
    <row r="59" spans="1:17" s="9" customFormat="1" ht="20.100000000000001" customHeight="1" x14ac:dyDescent="0.25">
      <c r="A59" s="15">
        <f t="shared" si="1"/>
        <v>65</v>
      </c>
      <c r="B59" s="20" t="s">
        <v>118</v>
      </c>
      <c r="C59" s="22"/>
      <c r="D59" s="18">
        <v>1</v>
      </c>
      <c r="E59" s="22"/>
      <c r="F59" s="15">
        <v>110</v>
      </c>
      <c r="G59" s="15">
        <v>48</v>
      </c>
      <c r="H59" s="15">
        <v>10</v>
      </c>
      <c r="I59" s="17" t="s">
        <v>26</v>
      </c>
      <c r="J59" s="23"/>
      <c r="K59" s="24"/>
      <c r="L59" s="23"/>
      <c r="M59" s="24"/>
      <c r="N59" s="24"/>
      <c r="O59" s="23"/>
      <c r="P59" s="19"/>
      <c r="Q59" s="19" t="s">
        <v>34</v>
      </c>
    </row>
    <row r="60" spans="1:17" s="9" customFormat="1" ht="20.100000000000001" customHeight="1" x14ac:dyDescent="0.25">
      <c r="A60" s="15">
        <f t="shared" si="1"/>
        <v>66</v>
      </c>
      <c r="B60" s="20" t="s">
        <v>101</v>
      </c>
      <c r="C60" s="22"/>
      <c r="D60" s="18">
        <v>1</v>
      </c>
      <c r="E60" s="22"/>
      <c r="F60" s="15">
        <v>80</v>
      </c>
      <c r="G60" s="15">
        <v>50</v>
      </c>
      <c r="H60" s="15">
        <v>30</v>
      </c>
      <c r="I60" s="17" t="s">
        <v>22</v>
      </c>
      <c r="J60" s="23"/>
      <c r="K60" s="24"/>
      <c r="L60" s="23"/>
      <c r="M60" s="24"/>
      <c r="N60" s="24"/>
      <c r="O60" s="23"/>
      <c r="P60" s="19"/>
      <c r="Q60" s="19"/>
    </row>
    <row r="61" spans="1:17" s="9" customFormat="1" ht="20.100000000000001" customHeight="1" x14ac:dyDescent="0.25">
      <c r="A61" s="15">
        <f t="shared" si="1"/>
        <v>67</v>
      </c>
      <c r="B61" s="20" t="s">
        <v>103</v>
      </c>
      <c r="C61" s="22"/>
      <c r="D61" s="18">
        <v>1</v>
      </c>
      <c r="E61" s="22"/>
      <c r="F61" s="15">
        <v>80</v>
      </c>
      <c r="G61" s="15">
        <v>50</v>
      </c>
      <c r="H61" s="15">
        <v>10</v>
      </c>
      <c r="I61" s="17" t="s">
        <v>26</v>
      </c>
      <c r="J61" s="23"/>
      <c r="K61" s="24"/>
      <c r="L61" s="23"/>
      <c r="M61" s="24"/>
      <c r="N61" s="24"/>
      <c r="O61" s="23"/>
      <c r="P61" s="19"/>
      <c r="Q61" s="19" t="s">
        <v>34</v>
      </c>
    </row>
    <row r="62" spans="1:17" s="9" customFormat="1" ht="20.100000000000001" customHeight="1" x14ac:dyDescent="0.25">
      <c r="A62" s="15">
        <f t="shared" si="1"/>
        <v>68</v>
      </c>
      <c r="B62" s="20" t="s">
        <v>102</v>
      </c>
      <c r="C62" s="22"/>
      <c r="D62" s="18">
        <v>1</v>
      </c>
      <c r="E62" s="22"/>
      <c r="F62" s="15">
        <v>80</v>
      </c>
      <c r="G62" s="15">
        <v>50</v>
      </c>
      <c r="H62" s="15">
        <v>30</v>
      </c>
      <c r="I62" s="17" t="s">
        <v>22</v>
      </c>
      <c r="J62" s="23"/>
      <c r="K62" s="24"/>
      <c r="L62" s="23"/>
      <c r="M62" s="24"/>
      <c r="N62" s="24"/>
      <c r="O62" s="23"/>
      <c r="P62" s="19"/>
      <c r="Q62" s="19"/>
    </row>
    <row r="63" spans="1:17" s="9" customFormat="1" ht="20.100000000000001" customHeight="1" x14ac:dyDescent="0.25">
      <c r="A63" s="15">
        <f t="shared" si="1"/>
        <v>69</v>
      </c>
      <c r="B63" s="20" t="s">
        <v>104</v>
      </c>
      <c r="C63" s="22"/>
      <c r="D63" s="18">
        <v>1</v>
      </c>
      <c r="E63" s="22"/>
      <c r="F63" s="15">
        <v>80</v>
      </c>
      <c r="G63" s="15">
        <v>50</v>
      </c>
      <c r="H63" s="15">
        <v>10</v>
      </c>
      <c r="I63" s="17" t="s">
        <v>26</v>
      </c>
      <c r="J63" s="23"/>
      <c r="K63" s="24"/>
      <c r="L63" s="23"/>
      <c r="M63" s="24"/>
      <c r="N63" s="24"/>
      <c r="O63" s="23"/>
      <c r="P63" s="19"/>
      <c r="Q63" s="19" t="s">
        <v>34</v>
      </c>
    </row>
    <row r="64" spans="1:17" s="9" customFormat="1" ht="20.100000000000001" customHeight="1" x14ac:dyDescent="0.25">
      <c r="A64" s="15">
        <f t="shared" si="1"/>
        <v>70</v>
      </c>
      <c r="B64" s="20" t="s">
        <v>105</v>
      </c>
      <c r="C64" s="22"/>
      <c r="D64" s="18">
        <v>1</v>
      </c>
      <c r="E64" s="22"/>
      <c r="F64" s="15">
        <v>80</v>
      </c>
      <c r="G64" s="15">
        <v>50</v>
      </c>
      <c r="H64" s="15">
        <v>30</v>
      </c>
      <c r="I64" s="17" t="s">
        <v>22</v>
      </c>
      <c r="J64" s="23"/>
      <c r="K64" s="24"/>
      <c r="L64" s="23"/>
      <c r="M64" s="24"/>
      <c r="N64" s="24"/>
      <c r="O64" s="23"/>
      <c r="P64" s="19"/>
      <c r="Q64" s="19"/>
    </row>
    <row r="65" spans="1:17" s="9" customFormat="1" ht="20.100000000000001" customHeight="1" x14ac:dyDescent="0.25">
      <c r="A65" s="15">
        <f t="shared" si="1"/>
        <v>71</v>
      </c>
      <c r="B65" s="20" t="s">
        <v>106</v>
      </c>
      <c r="C65" s="22"/>
      <c r="D65" s="18">
        <v>1</v>
      </c>
      <c r="E65" s="22"/>
      <c r="F65" s="15">
        <v>80</v>
      </c>
      <c r="G65" s="15">
        <v>50</v>
      </c>
      <c r="H65" s="15">
        <v>10</v>
      </c>
      <c r="I65" s="17" t="s">
        <v>26</v>
      </c>
      <c r="J65" s="23"/>
      <c r="K65" s="24"/>
      <c r="L65" s="23"/>
      <c r="M65" s="24"/>
      <c r="N65" s="24"/>
      <c r="O65" s="23"/>
      <c r="P65" s="19"/>
      <c r="Q65" s="19" t="s">
        <v>34</v>
      </c>
    </row>
    <row r="66" spans="1:17" s="9" customFormat="1" ht="20.100000000000001" customHeight="1" x14ac:dyDescent="0.25">
      <c r="A66" s="15">
        <f t="shared" si="1"/>
        <v>72</v>
      </c>
      <c r="B66" s="20" t="s">
        <v>107</v>
      </c>
      <c r="C66" s="22"/>
      <c r="D66" s="18">
        <v>1</v>
      </c>
      <c r="E66" s="22"/>
      <c r="F66" s="15">
        <v>80</v>
      </c>
      <c r="G66" s="15">
        <v>50</v>
      </c>
      <c r="H66" s="15">
        <v>30</v>
      </c>
      <c r="I66" s="17" t="s">
        <v>22</v>
      </c>
      <c r="J66" s="23"/>
      <c r="K66" s="24"/>
      <c r="L66" s="23"/>
      <c r="M66" s="24"/>
      <c r="N66" s="24"/>
      <c r="O66" s="23"/>
      <c r="P66" s="19"/>
      <c r="Q66" s="19"/>
    </row>
    <row r="67" spans="1:17" s="9" customFormat="1" ht="20.100000000000001" customHeight="1" x14ac:dyDescent="0.25">
      <c r="A67" s="15">
        <f t="shared" si="1"/>
        <v>73</v>
      </c>
      <c r="B67" s="20" t="s">
        <v>108</v>
      </c>
      <c r="C67" s="22"/>
      <c r="D67" s="18">
        <v>1</v>
      </c>
      <c r="E67" s="22"/>
      <c r="F67" s="15">
        <v>80</v>
      </c>
      <c r="G67" s="15">
        <v>50</v>
      </c>
      <c r="H67" s="15">
        <v>10</v>
      </c>
      <c r="I67" s="17" t="s">
        <v>26</v>
      </c>
      <c r="J67" s="23"/>
      <c r="K67" s="24"/>
      <c r="L67" s="23"/>
      <c r="M67" s="24"/>
      <c r="N67" s="24"/>
      <c r="O67" s="23"/>
      <c r="P67" s="19"/>
      <c r="Q67" s="19" t="s">
        <v>34</v>
      </c>
    </row>
    <row r="68" spans="1:17" s="9" customFormat="1" ht="20.100000000000001" customHeight="1" x14ac:dyDescent="0.25">
      <c r="A68" s="15">
        <f t="shared" si="1"/>
        <v>74</v>
      </c>
      <c r="B68" s="20" t="s">
        <v>109</v>
      </c>
      <c r="C68" s="22"/>
      <c r="D68" s="18">
        <v>1</v>
      </c>
      <c r="E68" s="22"/>
      <c r="F68" s="15">
        <v>70</v>
      </c>
      <c r="G68" s="15">
        <v>50</v>
      </c>
      <c r="H68" s="15">
        <v>30</v>
      </c>
      <c r="I68" s="17" t="s">
        <v>22</v>
      </c>
      <c r="J68" s="23"/>
      <c r="K68" s="24"/>
      <c r="L68" s="23"/>
      <c r="M68" s="24"/>
      <c r="N68" s="24"/>
      <c r="O68" s="23"/>
      <c r="P68" s="19"/>
      <c r="Q68" s="19"/>
    </row>
    <row r="69" spans="1:17" s="9" customFormat="1" ht="20.100000000000001" customHeight="1" x14ac:dyDescent="0.25">
      <c r="A69" s="15">
        <f t="shared" si="1"/>
        <v>75</v>
      </c>
      <c r="B69" s="20" t="s">
        <v>110</v>
      </c>
      <c r="C69" s="22"/>
      <c r="D69" s="18">
        <v>1</v>
      </c>
      <c r="E69" s="22"/>
      <c r="F69" s="15">
        <v>70</v>
      </c>
      <c r="G69" s="15">
        <v>50</v>
      </c>
      <c r="H69" s="15">
        <v>10</v>
      </c>
      <c r="I69" s="17" t="s">
        <v>26</v>
      </c>
      <c r="J69" s="23"/>
      <c r="K69" s="24"/>
      <c r="L69" s="23"/>
      <c r="M69" s="24"/>
      <c r="N69" s="24"/>
      <c r="O69" s="23"/>
      <c r="P69" s="19"/>
      <c r="Q69" s="19" t="s">
        <v>34</v>
      </c>
    </row>
    <row r="70" spans="1:17" s="9" customFormat="1" ht="20.100000000000001" customHeight="1" x14ac:dyDescent="0.25">
      <c r="A70" s="15">
        <f t="shared" si="1"/>
        <v>76</v>
      </c>
      <c r="B70" s="20" t="s">
        <v>111</v>
      </c>
      <c r="C70" s="22"/>
      <c r="D70" s="18">
        <v>1</v>
      </c>
      <c r="E70" s="22"/>
      <c r="F70" s="15">
        <v>70</v>
      </c>
      <c r="G70" s="15">
        <v>50</v>
      </c>
      <c r="H70" s="15">
        <v>30</v>
      </c>
      <c r="I70" s="17" t="s">
        <v>22</v>
      </c>
      <c r="J70" s="23"/>
      <c r="K70" s="24"/>
      <c r="L70" s="23"/>
      <c r="M70" s="24"/>
      <c r="N70" s="24"/>
      <c r="O70" s="23"/>
      <c r="P70" s="19"/>
      <c r="Q70" s="19"/>
    </row>
    <row r="71" spans="1:17" s="9" customFormat="1" ht="20.100000000000001" customHeight="1" x14ac:dyDescent="0.25">
      <c r="A71" s="15">
        <f t="shared" si="1"/>
        <v>77</v>
      </c>
      <c r="B71" s="20" t="s">
        <v>112</v>
      </c>
      <c r="C71" s="22"/>
      <c r="D71" s="18">
        <v>1</v>
      </c>
      <c r="E71" s="22"/>
      <c r="F71" s="15">
        <v>70</v>
      </c>
      <c r="G71" s="15">
        <v>50</v>
      </c>
      <c r="H71" s="15">
        <v>10</v>
      </c>
      <c r="I71" s="17" t="s">
        <v>26</v>
      </c>
      <c r="J71" s="23"/>
      <c r="K71" s="24"/>
      <c r="L71" s="23"/>
      <c r="M71" s="24"/>
      <c r="N71" s="24"/>
      <c r="O71" s="23"/>
      <c r="P71" s="19"/>
      <c r="Q71" s="19" t="s">
        <v>34</v>
      </c>
    </row>
    <row r="72" spans="1:17" s="9" customFormat="1" ht="20.100000000000001" customHeight="1" x14ac:dyDescent="0.25">
      <c r="A72" s="15">
        <f t="shared" si="1"/>
        <v>78</v>
      </c>
      <c r="B72" s="20" t="s">
        <v>113</v>
      </c>
      <c r="C72" s="22"/>
      <c r="D72" s="18">
        <v>1</v>
      </c>
      <c r="E72" s="22"/>
      <c r="F72" s="15">
        <v>70</v>
      </c>
      <c r="G72" s="15">
        <v>60</v>
      </c>
      <c r="H72" s="15">
        <v>30</v>
      </c>
      <c r="I72" s="17" t="s">
        <v>22</v>
      </c>
      <c r="J72" s="23"/>
      <c r="K72" s="24"/>
      <c r="L72" s="23"/>
      <c r="M72" s="24"/>
      <c r="N72" s="24"/>
      <c r="O72" s="23"/>
      <c r="P72" s="19"/>
      <c r="Q72" s="19"/>
    </row>
    <row r="73" spans="1:17" s="9" customFormat="1" ht="20.100000000000001" customHeight="1" x14ac:dyDescent="0.25">
      <c r="A73" s="15">
        <f t="shared" si="1"/>
        <v>79</v>
      </c>
      <c r="B73" s="20" t="s">
        <v>114</v>
      </c>
      <c r="C73" s="22"/>
      <c r="D73" s="18">
        <v>1</v>
      </c>
      <c r="E73" s="22"/>
      <c r="F73" s="15">
        <v>70</v>
      </c>
      <c r="G73" s="15">
        <v>60</v>
      </c>
      <c r="H73" s="15">
        <v>10</v>
      </c>
      <c r="I73" s="17" t="s">
        <v>26</v>
      </c>
      <c r="J73" s="23"/>
      <c r="K73" s="24"/>
      <c r="L73" s="23"/>
      <c r="M73" s="24"/>
      <c r="N73" s="24"/>
      <c r="O73" s="23"/>
      <c r="P73" s="19"/>
      <c r="Q73" s="19" t="s">
        <v>34</v>
      </c>
    </row>
    <row r="74" spans="1:17" s="9" customFormat="1" ht="20.100000000000001" customHeight="1" x14ac:dyDescent="0.25">
      <c r="A74" s="15">
        <f t="shared" si="1"/>
        <v>80</v>
      </c>
      <c r="B74" s="20" t="s">
        <v>115</v>
      </c>
      <c r="C74" s="22"/>
      <c r="D74" s="18">
        <v>1</v>
      </c>
      <c r="E74" s="22"/>
      <c r="F74" s="15">
        <v>70</v>
      </c>
      <c r="G74" s="15">
        <v>60</v>
      </c>
      <c r="H74" s="15">
        <v>30</v>
      </c>
      <c r="I74" s="17" t="s">
        <v>22</v>
      </c>
      <c r="J74" s="23"/>
      <c r="K74" s="24"/>
      <c r="L74" s="23"/>
      <c r="M74" s="24"/>
      <c r="N74" s="24"/>
      <c r="O74" s="23"/>
      <c r="P74" s="19"/>
      <c r="Q74" s="19"/>
    </row>
    <row r="75" spans="1:17" s="9" customFormat="1" ht="20.100000000000001" customHeight="1" x14ac:dyDescent="0.25">
      <c r="A75" s="15">
        <f t="shared" si="1"/>
        <v>81</v>
      </c>
      <c r="B75" s="20" t="s">
        <v>116</v>
      </c>
      <c r="C75" s="22"/>
      <c r="D75" s="18">
        <v>1</v>
      </c>
      <c r="E75" s="22"/>
      <c r="F75" s="15">
        <v>70</v>
      </c>
      <c r="G75" s="15">
        <v>60</v>
      </c>
      <c r="H75" s="15">
        <v>10</v>
      </c>
      <c r="I75" s="17" t="s">
        <v>26</v>
      </c>
      <c r="J75" s="23"/>
      <c r="K75" s="24"/>
      <c r="L75" s="23"/>
      <c r="M75" s="24"/>
      <c r="N75" s="24"/>
      <c r="O75" s="23"/>
      <c r="P75" s="19"/>
      <c r="Q75" s="19" t="s">
        <v>34</v>
      </c>
    </row>
    <row r="76" spans="1:17" s="9" customFormat="1" ht="20.100000000000001" customHeight="1" x14ac:dyDescent="0.25">
      <c r="A76" s="15">
        <f t="shared" si="1"/>
        <v>82</v>
      </c>
      <c r="B76" s="20" t="s">
        <v>119</v>
      </c>
      <c r="C76" s="22"/>
      <c r="D76" s="18">
        <v>1</v>
      </c>
      <c r="E76" s="22"/>
      <c r="F76" s="15">
        <v>150</v>
      </c>
      <c r="G76" s="15">
        <v>120</v>
      </c>
      <c r="H76" s="15">
        <v>98</v>
      </c>
      <c r="I76" s="18" t="s">
        <v>180</v>
      </c>
      <c r="J76" s="18"/>
      <c r="K76" s="18"/>
      <c r="L76" s="18"/>
      <c r="M76" s="18"/>
      <c r="N76" s="18"/>
      <c r="O76" s="18"/>
      <c r="P76" s="19" t="s">
        <v>80</v>
      </c>
      <c r="Q76" s="19" t="s">
        <v>181</v>
      </c>
    </row>
    <row r="77" spans="1:17" s="9" customFormat="1" ht="20.100000000000001" customHeight="1" x14ac:dyDescent="0.25">
      <c r="A77" s="15">
        <f t="shared" si="1"/>
        <v>83</v>
      </c>
      <c r="B77" s="20" t="s">
        <v>120</v>
      </c>
      <c r="C77" s="22"/>
      <c r="D77" s="18">
        <v>1</v>
      </c>
      <c r="E77" s="22"/>
      <c r="F77" s="15">
        <v>130</v>
      </c>
      <c r="G77" s="15">
        <v>100</v>
      </c>
      <c r="H77" s="15">
        <v>103</v>
      </c>
      <c r="I77" s="18" t="s">
        <v>180</v>
      </c>
      <c r="J77" s="18"/>
      <c r="K77" s="18"/>
      <c r="L77" s="18"/>
      <c r="M77" s="18"/>
      <c r="N77" s="18"/>
      <c r="O77" s="18"/>
      <c r="P77" s="19" t="s">
        <v>80</v>
      </c>
      <c r="Q77" s="19" t="s">
        <v>181</v>
      </c>
    </row>
    <row r="78" spans="1:17" s="9" customFormat="1" ht="20.100000000000001" customHeight="1" x14ac:dyDescent="0.25">
      <c r="A78" s="15">
        <f t="shared" si="1"/>
        <v>84</v>
      </c>
      <c r="B78" s="20" t="s">
        <v>121</v>
      </c>
      <c r="C78" s="22"/>
      <c r="D78" s="18">
        <v>1</v>
      </c>
      <c r="E78" s="22"/>
      <c r="F78" s="15">
        <v>180</v>
      </c>
      <c r="G78" s="15">
        <v>90</v>
      </c>
      <c r="H78" s="15">
        <v>107</v>
      </c>
      <c r="I78" s="18" t="s">
        <v>180</v>
      </c>
      <c r="J78" s="18"/>
      <c r="K78" s="18"/>
      <c r="L78" s="18"/>
      <c r="M78" s="18"/>
      <c r="N78" s="18"/>
      <c r="O78" s="18"/>
      <c r="P78" s="19" t="s">
        <v>80</v>
      </c>
      <c r="Q78" s="19" t="s">
        <v>181</v>
      </c>
    </row>
    <row r="79" spans="1:17" s="9" customFormat="1" ht="20.100000000000001" customHeight="1" x14ac:dyDescent="0.25">
      <c r="A79" s="15">
        <f t="shared" si="1"/>
        <v>85</v>
      </c>
      <c r="B79" s="20" t="s">
        <v>122</v>
      </c>
      <c r="C79" s="22"/>
      <c r="D79" s="18">
        <v>1</v>
      </c>
      <c r="E79" s="22"/>
      <c r="F79" s="15">
        <v>190</v>
      </c>
      <c r="G79" s="15">
        <v>70</v>
      </c>
      <c r="H79" s="15">
        <v>103</v>
      </c>
      <c r="I79" s="18" t="s">
        <v>180</v>
      </c>
      <c r="J79" s="18"/>
      <c r="K79" s="18"/>
      <c r="L79" s="18"/>
      <c r="M79" s="18"/>
      <c r="N79" s="18"/>
      <c r="O79" s="18"/>
      <c r="P79" s="19" t="s">
        <v>80</v>
      </c>
      <c r="Q79" s="19" t="s">
        <v>181</v>
      </c>
    </row>
    <row r="80" spans="1:17" s="9" customFormat="1" ht="20.100000000000001" customHeight="1" x14ac:dyDescent="0.25">
      <c r="A80" s="15">
        <f t="shared" si="1"/>
        <v>86</v>
      </c>
      <c r="B80" s="20" t="s">
        <v>123</v>
      </c>
      <c r="C80" s="22"/>
      <c r="D80" s="18">
        <v>1</v>
      </c>
      <c r="E80" s="22"/>
      <c r="F80" s="15">
        <v>130</v>
      </c>
      <c r="G80" s="15">
        <v>90</v>
      </c>
      <c r="H80" s="15">
        <v>100</v>
      </c>
      <c r="I80" s="18" t="s">
        <v>180</v>
      </c>
      <c r="J80" s="18"/>
      <c r="K80" s="18"/>
      <c r="L80" s="18"/>
      <c r="M80" s="18"/>
      <c r="N80" s="18"/>
      <c r="O80" s="18"/>
      <c r="P80" s="19" t="s">
        <v>80</v>
      </c>
      <c r="Q80" s="19" t="s">
        <v>181</v>
      </c>
    </row>
    <row r="81" spans="1:17" s="9" customFormat="1" ht="20.100000000000001" customHeight="1" x14ac:dyDescent="0.25">
      <c r="A81" s="15">
        <f t="shared" si="1"/>
        <v>87</v>
      </c>
      <c r="B81" s="20" t="s">
        <v>39</v>
      </c>
      <c r="C81" s="18"/>
      <c r="D81" s="18">
        <v>1</v>
      </c>
      <c r="E81" s="18"/>
      <c r="F81" s="18">
        <v>1320</v>
      </c>
      <c r="G81" s="18">
        <v>520</v>
      </c>
      <c r="H81" s="18">
        <v>220</v>
      </c>
      <c r="I81" s="17" t="s">
        <v>25</v>
      </c>
      <c r="J81" s="18"/>
      <c r="K81" s="18"/>
      <c r="L81" s="18"/>
      <c r="M81" s="18"/>
      <c r="N81" s="18"/>
      <c r="O81" s="18"/>
      <c r="P81" s="18"/>
      <c r="Q81" s="19"/>
    </row>
    <row r="82" spans="1:17" s="9" customFormat="1" ht="20.100000000000001" customHeight="1" x14ac:dyDescent="0.25">
      <c r="A82" s="15">
        <f t="shared" si="1"/>
        <v>88</v>
      </c>
      <c r="B82" s="20" t="s">
        <v>126</v>
      </c>
      <c r="C82" s="18"/>
      <c r="D82" s="18">
        <v>4</v>
      </c>
      <c r="E82" s="18"/>
      <c r="F82" s="25">
        <v>30</v>
      </c>
      <c r="G82" s="25">
        <v>24</v>
      </c>
      <c r="H82" s="18">
        <v>15</v>
      </c>
      <c r="I82" s="19" t="s">
        <v>22</v>
      </c>
      <c r="J82" s="23"/>
      <c r="K82" s="24"/>
      <c r="L82" s="23"/>
      <c r="M82" s="24"/>
      <c r="N82" s="24"/>
      <c r="O82" s="23"/>
      <c r="P82" s="19"/>
      <c r="Q82" s="19"/>
    </row>
    <row r="83" spans="1:17" s="9" customFormat="1" ht="20.100000000000001" customHeight="1" x14ac:dyDescent="0.25">
      <c r="A83" s="15">
        <f t="shared" si="1"/>
        <v>89</v>
      </c>
      <c r="B83" s="18"/>
      <c r="C83" s="18"/>
      <c r="D83" s="18"/>
      <c r="E83" s="18"/>
      <c r="F83" s="26"/>
      <c r="G83" s="27"/>
      <c r="H83" s="18"/>
      <c r="I83" s="19"/>
      <c r="J83" s="23"/>
      <c r="K83" s="24"/>
      <c r="L83" s="23"/>
      <c r="M83" s="24"/>
      <c r="N83" s="24"/>
      <c r="O83" s="23"/>
      <c r="P83" s="19"/>
      <c r="Q83" s="19"/>
    </row>
    <row r="84" spans="1:17" s="6" customFormat="1" ht="15" customHeight="1" x14ac:dyDescent="0.25">
      <c r="A84" s="15">
        <f t="shared" si="1"/>
        <v>90</v>
      </c>
      <c r="B84" s="18"/>
      <c r="C84" s="18"/>
      <c r="D84" s="18"/>
      <c r="E84" s="18"/>
      <c r="F84" s="26"/>
      <c r="G84" s="27"/>
      <c r="H84" s="18"/>
      <c r="I84" s="19"/>
      <c r="J84" s="23"/>
      <c r="K84" s="24"/>
      <c r="L84" s="23"/>
      <c r="M84" s="24"/>
      <c r="N84" s="24"/>
      <c r="O84" s="23"/>
      <c r="P84" s="19"/>
      <c r="Q84" s="19"/>
    </row>
    <row r="85" spans="1:17" s="6" customFormat="1" ht="15" customHeight="1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2" customHeight="1" x14ac:dyDescent="0.25"/>
    <row r="87" spans="1:17" ht="12" customHeight="1" x14ac:dyDescent="0.25"/>
    <row r="88" spans="1:17" ht="12" customHeight="1" x14ac:dyDescent="0.25"/>
    <row r="89" spans="1:17" ht="12" customHeight="1" x14ac:dyDescent="0.25"/>
    <row r="90" spans="1:17" ht="12" customHeight="1" x14ac:dyDescent="0.25"/>
    <row r="91" spans="1:17" ht="12" customHeight="1" x14ac:dyDescent="0.25"/>
    <row r="92" spans="1:17" ht="12" customHeight="1" x14ac:dyDescent="0.25"/>
    <row r="93" spans="1:17" ht="12" customHeight="1" x14ac:dyDescent="0.25"/>
  </sheetData>
  <mergeCells count="21">
    <mergeCell ref="Q2:Q3"/>
    <mergeCell ref="J2:L2"/>
    <mergeCell ref="F55:G55"/>
    <mergeCell ref="F12:G12"/>
    <mergeCell ref="F39:G39"/>
    <mergeCell ref="A1:C1"/>
    <mergeCell ref="A2:A3"/>
    <mergeCell ref="B4:Q4"/>
    <mergeCell ref="A53:Q53"/>
    <mergeCell ref="P2:P3"/>
    <mergeCell ref="P1:Q1"/>
    <mergeCell ref="I1:O1"/>
    <mergeCell ref="D1:H1"/>
    <mergeCell ref="M2:O2"/>
    <mergeCell ref="B2:B3"/>
    <mergeCell ref="C2:C3"/>
    <mergeCell ref="D2:D3"/>
    <mergeCell ref="E2:E3"/>
    <mergeCell ref="F2:H2"/>
    <mergeCell ref="I2:I3"/>
    <mergeCell ref="F37:G37"/>
  </mergeCells>
  <dataValidations disablePrompts="1" count="4">
    <dataValidation type="list" allowBlank="1" showInputMessage="1" showErrorMessage="1" error="NOT IN VALID MATERIAL_x000a_" sqref="I81:I84 I5:I12 I33 I36:I37 I54:I75 I50:I52">
      <formula1>"FG300,GGG70,D2,EN8,OHNS,MS"</formula1>
    </dataValidation>
    <dataValidation type="list" allowBlank="1" showInputMessage="1" showErrorMessage="1" error="NOT IN STOCK" sqref="M54:M75 M82:M84">
      <formula1>"Ø6,Ø8,Ø10,Ø12,Ø16,Ø20"</formula1>
    </dataValidation>
    <dataValidation type="list" allowBlank="1" showInputMessage="1" showErrorMessage="1" error="NOT IN STOCK" sqref="N54:N75 K54:K75 N82:N84 K82:K84">
      <formula1>"10,20,30,35,40,45,50,60,70,80,90,100"</formula1>
    </dataValidation>
    <dataValidation type="list" allowBlank="1" showInputMessage="1" showErrorMessage="1" error="NOT IN STOCK" sqref="J54:J75 J82:J84">
      <formula1>"M5,M5,M6,M8,M10,M12,M16,M20,M24,M30"</formula1>
    </dataValidation>
  </dataValidations>
  <printOptions horizontalCentered="1" verticalCentered="1"/>
  <pageMargins left="0" right="0" top="0" bottom="0" header="0" footer="0"/>
  <pageSetup paperSize="9" scale="5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R37"/>
  <sheetViews>
    <sheetView tabSelected="1" view="pageBreakPreview" zoomScale="85" zoomScaleNormal="100" zoomScaleSheetLayoutView="85" workbookViewId="0">
      <selection activeCell="M14" sqref="M14"/>
    </sheetView>
  </sheetViews>
  <sheetFormatPr defaultColWidth="9.140625" defaultRowHeight="15" x14ac:dyDescent="0.25"/>
  <cols>
    <col min="1" max="1" width="5.85546875" style="5" bestFit="1" customWidth="1"/>
    <col min="2" max="2" width="38.85546875" style="5" customWidth="1"/>
    <col min="3" max="3" width="36.85546875" style="5" customWidth="1"/>
    <col min="4" max="4" width="9.140625" style="5"/>
    <col min="5" max="5" width="5.7109375" style="5" customWidth="1"/>
    <col min="6" max="7" width="9.140625" style="5"/>
    <col min="8" max="8" width="10.140625" style="5" customWidth="1"/>
    <col min="9" max="9" width="12" style="5" customWidth="1"/>
    <col min="10" max="15" width="9.140625" style="5"/>
    <col min="16" max="16" width="12" style="5" bestFit="1" customWidth="1"/>
    <col min="17" max="17" width="10.42578125" style="5" bestFit="1" customWidth="1"/>
    <col min="18" max="18" width="20.85546875" style="5" bestFit="1" customWidth="1"/>
    <col min="19" max="16384" width="9.140625" style="5"/>
  </cols>
  <sheetData>
    <row r="1" spans="1:18" ht="21" x14ac:dyDescent="0.25">
      <c r="A1" s="62" t="str">
        <f xml:space="preserve"> 'MFG ITEM'!A1</f>
        <v>S24SKH1205-OP50-PRC&amp;PART OFF</v>
      </c>
      <c r="B1" s="62"/>
      <c r="C1" s="62"/>
      <c r="D1" s="62"/>
      <c r="E1" s="62"/>
      <c r="F1" s="82" t="s">
        <v>17</v>
      </c>
      <c r="G1" s="82"/>
      <c r="H1" s="82"/>
      <c r="I1" s="70" t="s">
        <v>40</v>
      </c>
      <c r="J1" s="70"/>
      <c r="K1" s="70"/>
      <c r="L1" s="70"/>
      <c r="M1" s="70"/>
      <c r="N1" s="70"/>
      <c r="O1" s="70"/>
      <c r="P1" s="82" t="str">
        <f>'MFG ITEM'!P1</f>
        <v>DATE:12.05.2024</v>
      </c>
      <c r="Q1" s="82"/>
      <c r="R1" s="82"/>
    </row>
    <row r="2" spans="1:18" ht="18" customHeight="1" x14ac:dyDescent="0.25">
      <c r="A2" s="83" t="s">
        <v>1</v>
      </c>
      <c r="B2" s="83" t="s">
        <v>15</v>
      </c>
      <c r="C2" s="83" t="s">
        <v>2</v>
      </c>
      <c r="D2" s="85" t="s">
        <v>3</v>
      </c>
      <c r="E2" s="85" t="s">
        <v>4</v>
      </c>
      <c r="F2" s="76" t="s">
        <v>27</v>
      </c>
      <c r="G2" s="76"/>
      <c r="H2" s="76"/>
      <c r="I2" s="85" t="s">
        <v>0</v>
      </c>
      <c r="J2" s="79" t="s">
        <v>8</v>
      </c>
      <c r="K2" s="80"/>
      <c r="L2" s="81"/>
      <c r="M2" s="69" t="s">
        <v>9</v>
      </c>
      <c r="N2" s="69"/>
      <c r="O2" s="69"/>
      <c r="P2" s="85" t="s">
        <v>10</v>
      </c>
      <c r="Q2" s="85" t="s">
        <v>11</v>
      </c>
      <c r="R2" s="85" t="s">
        <v>16</v>
      </c>
    </row>
    <row r="3" spans="1:18" ht="18" customHeight="1" x14ac:dyDescent="0.25">
      <c r="A3" s="84"/>
      <c r="B3" s="84"/>
      <c r="C3" s="84"/>
      <c r="D3" s="86"/>
      <c r="E3" s="86"/>
      <c r="F3" s="4" t="s">
        <v>5</v>
      </c>
      <c r="G3" s="4" t="s">
        <v>6</v>
      </c>
      <c r="H3" s="4" t="s">
        <v>7</v>
      </c>
      <c r="I3" s="86"/>
      <c r="J3" s="4" t="s">
        <v>18</v>
      </c>
      <c r="K3" s="3" t="s">
        <v>19</v>
      </c>
      <c r="L3" s="3" t="s">
        <v>12</v>
      </c>
      <c r="M3" s="3" t="s">
        <v>13</v>
      </c>
      <c r="N3" s="3" t="s">
        <v>19</v>
      </c>
      <c r="O3" s="3" t="s">
        <v>12</v>
      </c>
      <c r="P3" s="86"/>
      <c r="Q3" s="86"/>
      <c r="R3" s="86"/>
    </row>
    <row r="4" spans="1:18" s="14" customFormat="1" ht="24.95" customHeight="1" x14ac:dyDescent="0.25">
      <c r="A4" s="19">
        <v>101</v>
      </c>
      <c r="B4" s="28" t="s">
        <v>87</v>
      </c>
      <c r="C4" s="29" t="s">
        <v>147</v>
      </c>
      <c r="D4" s="19">
        <v>4</v>
      </c>
      <c r="E4" s="98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 t="s">
        <v>23</v>
      </c>
    </row>
    <row r="5" spans="1:18" s="14" customFormat="1" ht="24.95" customHeight="1" x14ac:dyDescent="0.25">
      <c r="A5" s="19">
        <f>A4+1</f>
        <v>102</v>
      </c>
      <c r="B5" s="28" t="s">
        <v>84</v>
      </c>
      <c r="C5" s="28" t="s">
        <v>76</v>
      </c>
      <c r="D5" s="19">
        <v>8</v>
      </c>
      <c r="E5" s="98"/>
      <c r="F5" s="19"/>
      <c r="G5" s="19"/>
      <c r="H5" s="19"/>
      <c r="I5" s="19"/>
      <c r="J5" s="19"/>
      <c r="K5" s="19"/>
      <c r="L5" s="19"/>
      <c r="M5" s="19"/>
      <c r="N5" s="19"/>
      <c r="O5" s="19"/>
      <c r="P5" s="91" t="s">
        <v>148</v>
      </c>
      <c r="Q5" s="92"/>
      <c r="R5" s="19" t="s">
        <v>23</v>
      </c>
    </row>
    <row r="6" spans="1:18" s="14" customFormat="1" ht="24.95" customHeight="1" x14ac:dyDescent="0.25">
      <c r="A6" s="10">
        <f t="shared" ref="A6:A10" si="0">A5+1</f>
        <v>103</v>
      </c>
      <c r="B6" s="11" t="s">
        <v>41</v>
      </c>
      <c r="C6" s="12" t="s">
        <v>179</v>
      </c>
      <c r="D6" s="10">
        <v>8</v>
      </c>
      <c r="E6" s="99">
        <v>3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3"/>
      <c r="R6" s="10" t="s">
        <v>23</v>
      </c>
    </row>
    <row r="7" spans="1:18" s="14" customFormat="1" ht="24.95" customHeight="1" x14ac:dyDescent="0.25">
      <c r="A7" s="10">
        <f t="shared" si="0"/>
        <v>104</v>
      </c>
      <c r="B7" s="11" t="s">
        <v>42</v>
      </c>
      <c r="C7" s="12" t="s">
        <v>178</v>
      </c>
      <c r="D7" s="10">
        <v>2</v>
      </c>
      <c r="E7" s="99">
        <v>1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3"/>
      <c r="R7" s="10" t="s">
        <v>23</v>
      </c>
    </row>
    <row r="8" spans="1:18" s="14" customFormat="1" ht="24.95" customHeight="1" x14ac:dyDescent="0.25">
      <c r="A8" s="19">
        <f t="shared" si="0"/>
        <v>105</v>
      </c>
      <c r="B8" s="28" t="s">
        <v>150</v>
      </c>
      <c r="C8" s="29" t="s">
        <v>149</v>
      </c>
      <c r="D8" s="19">
        <v>4</v>
      </c>
      <c r="E8" s="98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30"/>
      <c r="R8" s="19" t="s">
        <v>23</v>
      </c>
    </row>
    <row r="9" spans="1:18" s="14" customFormat="1" ht="24.95" customHeight="1" x14ac:dyDescent="0.25">
      <c r="A9" s="19">
        <f t="shared" si="0"/>
        <v>106</v>
      </c>
      <c r="B9" s="28" t="s">
        <v>77</v>
      </c>
      <c r="C9" s="29" t="s">
        <v>78</v>
      </c>
      <c r="D9" s="19">
        <v>8</v>
      </c>
      <c r="E9" s="98"/>
      <c r="F9" s="19"/>
      <c r="G9" s="19"/>
      <c r="H9" s="19"/>
      <c r="I9" s="19"/>
      <c r="J9" s="19"/>
      <c r="K9" s="19"/>
      <c r="L9" s="19"/>
      <c r="M9" s="19"/>
      <c r="N9" s="19"/>
      <c r="O9" s="19"/>
      <c r="P9" s="91" t="s">
        <v>148</v>
      </c>
      <c r="Q9" s="92"/>
      <c r="R9" s="19" t="s">
        <v>23</v>
      </c>
    </row>
    <row r="10" spans="1:18" s="14" customFormat="1" ht="24.95" customHeight="1" x14ac:dyDescent="0.25">
      <c r="A10" s="19">
        <f t="shared" si="0"/>
        <v>107</v>
      </c>
      <c r="B10" s="28" t="s">
        <v>152</v>
      </c>
      <c r="C10" s="29"/>
      <c r="D10" s="19">
        <v>2</v>
      </c>
      <c r="E10" s="98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30"/>
      <c r="R10" s="19" t="s">
        <v>151</v>
      </c>
    </row>
    <row r="11" spans="1:18" s="14" customFormat="1" ht="24.95" customHeight="1" x14ac:dyDescent="0.25">
      <c r="A11" s="93">
        <f>A10+1</f>
        <v>108</v>
      </c>
      <c r="B11" s="28" t="s">
        <v>37</v>
      </c>
      <c r="C11" s="95" t="s">
        <v>47</v>
      </c>
      <c r="D11" s="19">
        <v>2</v>
      </c>
      <c r="E11" s="98"/>
      <c r="F11" s="19">
        <v>62</v>
      </c>
      <c r="G11" s="19">
        <v>32</v>
      </c>
      <c r="H11" s="19">
        <v>16</v>
      </c>
      <c r="I11" s="19" t="s">
        <v>35</v>
      </c>
      <c r="J11" s="19"/>
      <c r="K11" s="19"/>
      <c r="L11" s="19"/>
      <c r="M11" s="19"/>
      <c r="N11" s="19"/>
      <c r="O11" s="19"/>
      <c r="P11" s="19"/>
      <c r="Q11" s="30"/>
      <c r="R11" s="19" t="s">
        <v>23</v>
      </c>
    </row>
    <row r="12" spans="1:18" s="14" customFormat="1" ht="24.95" customHeight="1" x14ac:dyDescent="0.25">
      <c r="A12" s="94"/>
      <c r="B12" s="28" t="s">
        <v>38</v>
      </c>
      <c r="C12" s="96"/>
      <c r="D12" s="19">
        <v>2</v>
      </c>
      <c r="E12" s="98"/>
      <c r="F12" s="19">
        <v>75</v>
      </c>
      <c r="G12" s="19">
        <v>40</v>
      </c>
      <c r="H12" s="19">
        <v>16</v>
      </c>
      <c r="I12" s="19" t="s">
        <v>22</v>
      </c>
      <c r="J12" s="19"/>
      <c r="K12" s="19"/>
      <c r="L12" s="19"/>
      <c r="M12" s="19"/>
      <c r="N12" s="19"/>
      <c r="O12" s="19"/>
      <c r="P12" s="19"/>
      <c r="Q12" s="30"/>
      <c r="R12" s="19" t="s">
        <v>23</v>
      </c>
    </row>
    <row r="13" spans="1:18" s="14" customFormat="1" ht="24.95" customHeight="1" x14ac:dyDescent="0.25">
      <c r="A13" s="93">
        <f>A11+1</f>
        <v>109</v>
      </c>
      <c r="B13" s="28" t="s">
        <v>155</v>
      </c>
      <c r="C13" s="31" t="s">
        <v>82</v>
      </c>
      <c r="D13" s="19">
        <v>4</v>
      </c>
      <c r="E13" s="98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30"/>
      <c r="R13" s="19" t="s">
        <v>23</v>
      </c>
    </row>
    <row r="14" spans="1:18" s="14" customFormat="1" ht="24.95" customHeight="1" x14ac:dyDescent="0.25">
      <c r="A14" s="94"/>
      <c r="B14" s="28" t="s">
        <v>81</v>
      </c>
      <c r="C14" s="32" t="s">
        <v>154</v>
      </c>
      <c r="D14" s="19">
        <v>4</v>
      </c>
      <c r="E14" s="98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30"/>
      <c r="R14" s="19" t="s">
        <v>23</v>
      </c>
    </row>
    <row r="15" spans="1:18" s="14" customFormat="1" ht="24.95" customHeight="1" x14ac:dyDescent="0.25">
      <c r="A15" s="33">
        <f>A13+1</f>
        <v>110</v>
      </c>
      <c r="B15" s="28" t="s">
        <v>156</v>
      </c>
      <c r="C15" s="31" t="s">
        <v>86</v>
      </c>
      <c r="D15" s="19">
        <v>4</v>
      </c>
      <c r="E15" s="9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30"/>
      <c r="R15" s="19" t="s">
        <v>23</v>
      </c>
    </row>
    <row r="16" spans="1:18" s="14" customFormat="1" ht="24.95" customHeight="1" x14ac:dyDescent="0.25">
      <c r="A16" s="33">
        <f>A15+1</f>
        <v>111</v>
      </c>
      <c r="B16" s="28" t="s">
        <v>89</v>
      </c>
      <c r="C16" s="29" t="s">
        <v>88</v>
      </c>
      <c r="D16" s="19">
        <v>4</v>
      </c>
      <c r="E16" s="98"/>
      <c r="F16" s="97" t="s">
        <v>48</v>
      </c>
      <c r="G16" s="92"/>
      <c r="H16" s="19">
        <v>106</v>
      </c>
      <c r="I16" s="19" t="s">
        <v>51</v>
      </c>
      <c r="J16" s="19"/>
      <c r="K16" s="19"/>
      <c r="L16" s="19"/>
      <c r="M16" s="19"/>
      <c r="N16" s="19"/>
      <c r="O16" s="19"/>
      <c r="P16" s="19"/>
      <c r="Q16" s="30"/>
      <c r="R16" s="19" t="s">
        <v>127</v>
      </c>
    </row>
    <row r="17" spans="1:18" s="14" customFormat="1" ht="24.95" customHeight="1" x14ac:dyDescent="0.25">
      <c r="A17" s="33">
        <f>A16+1</f>
        <v>112</v>
      </c>
      <c r="B17" s="28" t="s">
        <v>159</v>
      </c>
      <c r="C17" s="34" t="s">
        <v>158</v>
      </c>
      <c r="D17" s="19">
        <v>4</v>
      </c>
      <c r="E17" s="98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30"/>
      <c r="R17" s="19" t="s">
        <v>23</v>
      </c>
    </row>
    <row r="18" spans="1:18" s="14" customFormat="1" ht="24.95" customHeight="1" x14ac:dyDescent="0.25">
      <c r="A18" s="87">
        <f>A17+1</f>
        <v>113</v>
      </c>
      <c r="B18" s="58" t="s">
        <v>172</v>
      </c>
      <c r="C18" s="59" t="s">
        <v>173</v>
      </c>
      <c r="D18" s="60">
        <v>2</v>
      </c>
      <c r="E18" s="100">
        <v>1</v>
      </c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1"/>
      <c r="R18" s="60" t="s">
        <v>23</v>
      </c>
    </row>
    <row r="19" spans="1:18" s="14" customFormat="1" ht="24.95" customHeight="1" x14ac:dyDescent="0.25">
      <c r="A19" s="88"/>
      <c r="B19" s="58" t="s">
        <v>49</v>
      </c>
      <c r="C19" s="59" t="s">
        <v>92</v>
      </c>
      <c r="D19" s="60">
        <v>2</v>
      </c>
      <c r="E19" s="10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1"/>
      <c r="R19" s="60" t="s">
        <v>23</v>
      </c>
    </row>
    <row r="20" spans="1:18" s="14" customFormat="1" ht="24.95" customHeight="1" x14ac:dyDescent="0.25">
      <c r="A20" s="89">
        <f>A18+1</f>
        <v>114</v>
      </c>
      <c r="B20" s="35" t="s">
        <v>167</v>
      </c>
      <c r="C20" s="36" t="s">
        <v>166</v>
      </c>
      <c r="D20" s="37">
        <v>2</v>
      </c>
      <c r="E20" s="101">
        <v>1</v>
      </c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8"/>
      <c r="R20" s="37" t="s">
        <v>23</v>
      </c>
    </row>
    <row r="21" spans="1:18" s="14" customFormat="1" ht="24.95" customHeight="1" x14ac:dyDescent="0.25">
      <c r="A21" s="90"/>
      <c r="B21" s="35" t="s">
        <v>50</v>
      </c>
      <c r="C21" s="36" t="s">
        <v>93</v>
      </c>
      <c r="D21" s="37">
        <v>2</v>
      </c>
      <c r="E21" s="101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8"/>
      <c r="R21" s="37" t="s">
        <v>23</v>
      </c>
    </row>
    <row r="22" spans="1:18" s="14" customFormat="1" ht="24.95" customHeight="1" x14ac:dyDescent="0.25">
      <c r="A22" s="39">
        <f>A20+1</f>
        <v>115</v>
      </c>
      <c r="B22" s="40" t="s">
        <v>168</v>
      </c>
      <c r="C22" s="40" t="s">
        <v>177</v>
      </c>
      <c r="D22" s="41">
        <v>4</v>
      </c>
      <c r="E22" s="102">
        <v>1</v>
      </c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2"/>
      <c r="R22" s="41" t="s">
        <v>23</v>
      </c>
    </row>
    <row r="23" spans="1:18" s="14" customFormat="1" ht="24.95" customHeight="1" x14ac:dyDescent="0.25">
      <c r="A23" s="48">
        <f>A22+1</f>
        <v>116</v>
      </c>
      <c r="B23" s="49" t="s">
        <v>170</v>
      </c>
      <c r="C23" s="50" t="s">
        <v>176</v>
      </c>
      <c r="D23" s="51">
        <v>4</v>
      </c>
      <c r="E23" s="103">
        <v>1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2"/>
      <c r="R23" s="51" t="s">
        <v>23</v>
      </c>
    </row>
    <row r="24" spans="1:18" s="14" customFormat="1" ht="24.95" customHeight="1" x14ac:dyDescent="0.25">
      <c r="A24" s="53">
        <f t="shared" ref="A24:A33" si="1">A23+1</f>
        <v>117</v>
      </c>
      <c r="B24" s="54" t="s">
        <v>171</v>
      </c>
      <c r="C24" s="55" t="s">
        <v>175</v>
      </c>
      <c r="D24" s="56">
        <v>4</v>
      </c>
      <c r="E24" s="104">
        <v>1</v>
      </c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7"/>
      <c r="R24" s="56" t="s">
        <v>23</v>
      </c>
    </row>
    <row r="25" spans="1:18" s="14" customFormat="1" ht="24.95" customHeight="1" x14ac:dyDescent="0.25">
      <c r="A25" s="43">
        <f t="shared" si="1"/>
        <v>118</v>
      </c>
      <c r="B25" s="44" t="s">
        <v>169</v>
      </c>
      <c r="C25" s="45" t="s">
        <v>100</v>
      </c>
      <c r="D25" s="46">
        <v>10</v>
      </c>
      <c r="E25" s="105">
        <v>3</v>
      </c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7"/>
      <c r="R25" s="46" t="s">
        <v>23</v>
      </c>
    </row>
    <row r="26" spans="1:18" s="14" customFormat="1" ht="24.95" customHeight="1" x14ac:dyDescent="0.25">
      <c r="A26" s="33">
        <f t="shared" si="1"/>
        <v>119</v>
      </c>
      <c r="B26" s="28" t="s">
        <v>161</v>
      </c>
      <c r="C26" s="34" t="s">
        <v>160</v>
      </c>
      <c r="D26" s="19">
        <v>4</v>
      </c>
      <c r="E26" s="98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30"/>
      <c r="R26" s="19" t="s">
        <v>23</v>
      </c>
    </row>
    <row r="27" spans="1:18" s="14" customFormat="1" ht="24.95" customHeight="1" x14ac:dyDescent="0.25">
      <c r="A27" s="33">
        <f t="shared" si="1"/>
        <v>120</v>
      </c>
      <c r="B27" s="28" t="s">
        <v>95</v>
      </c>
      <c r="C27" s="34" t="s">
        <v>94</v>
      </c>
      <c r="D27" s="19">
        <v>18</v>
      </c>
      <c r="E27" s="98">
        <v>4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30"/>
      <c r="R27" s="19" t="s">
        <v>23</v>
      </c>
    </row>
    <row r="28" spans="1:18" s="14" customFormat="1" ht="24.95" customHeight="1" x14ac:dyDescent="0.25">
      <c r="A28" s="33">
        <f t="shared" si="1"/>
        <v>121</v>
      </c>
      <c r="B28" s="28" t="s">
        <v>97</v>
      </c>
      <c r="C28" s="34" t="s">
        <v>96</v>
      </c>
      <c r="D28" s="19">
        <v>4</v>
      </c>
      <c r="E28" s="9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30"/>
      <c r="R28" s="19" t="s">
        <v>23</v>
      </c>
    </row>
    <row r="29" spans="1:18" s="14" customFormat="1" ht="24.95" customHeight="1" x14ac:dyDescent="0.25">
      <c r="A29" s="33">
        <f t="shared" si="1"/>
        <v>122</v>
      </c>
      <c r="B29" s="28" t="s">
        <v>99</v>
      </c>
      <c r="C29" s="34" t="s">
        <v>98</v>
      </c>
      <c r="D29" s="19">
        <v>4</v>
      </c>
      <c r="E29" s="98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30"/>
      <c r="R29" s="19" t="s">
        <v>23</v>
      </c>
    </row>
    <row r="30" spans="1:18" s="14" customFormat="1" ht="24.95" customHeight="1" x14ac:dyDescent="0.25">
      <c r="A30" s="33">
        <f t="shared" si="1"/>
        <v>123</v>
      </c>
      <c r="B30" s="28" t="s">
        <v>165</v>
      </c>
      <c r="C30" s="34" t="s">
        <v>124</v>
      </c>
      <c r="D30" s="19">
        <v>10</v>
      </c>
      <c r="E30" s="98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30"/>
      <c r="R30" s="19" t="s">
        <v>23</v>
      </c>
    </row>
    <row r="31" spans="1:18" s="14" customFormat="1" ht="24.95" customHeight="1" x14ac:dyDescent="0.25">
      <c r="A31" s="33">
        <f t="shared" si="1"/>
        <v>124</v>
      </c>
      <c r="B31" s="28" t="s">
        <v>157</v>
      </c>
      <c r="C31" s="34" t="s">
        <v>125</v>
      </c>
      <c r="D31" s="19">
        <v>4</v>
      </c>
      <c r="E31" s="98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30"/>
      <c r="R31" s="19" t="s">
        <v>23</v>
      </c>
    </row>
    <row r="32" spans="1:18" s="14" customFormat="1" ht="24.95" customHeight="1" x14ac:dyDescent="0.25">
      <c r="A32" s="33">
        <f t="shared" si="1"/>
        <v>125</v>
      </c>
      <c r="B32" s="28" t="s">
        <v>162</v>
      </c>
      <c r="C32" s="34" t="s">
        <v>164</v>
      </c>
      <c r="D32" s="19">
        <v>18</v>
      </c>
      <c r="E32" s="98"/>
      <c r="F32" s="97" t="s">
        <v>163</v>
      </c>
      <c r="G32" s="92"/>
      <c r="H32" s="19">
        <v>28</v>
      </c>
      <c r="I32" s="19" t="s">
        <v>22</v>
      </c>
      <c r="J32" s="19"/>
      <c r="K32" s="19"/>
      <c r="L32" s="19"/>
      <c r="M32" s="19"/>
      <c r="N32" s="19"/>
      <c r="O32" s="19"/>
      <c r="P32" s="19"/>
      <c r="Q32" s="30"/>
      <c r="R32" s="19" t="s">
        <v>23</v>
      </c>
    </row>
    <row r="33" spans="1:18" s="14" customFormat="1" ht="24.95" customHeight="1" x14ac:dyDescent="0.25">
      <c r="A33" s="33">
        <f t="shared" si="1"/>
        <v>126</v>
      </c>
      <c r="B33" s="28"/>
      <c r="C33" s="34"/>
      <c r="D33" s="19"/>
      <c r="E33" s="98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30"/>
      <c r="R33" s="19" t="s">
        <v>23</v>
      </c>
    </row>
    <row r="34" spans="1:18" ht="21" x14ac:dyDescent="0.25">
      <c r="A34" s="93">
        <f>A33+1</f>
        <v>127</v>
      </c>
      <c r="B34" s="28" t="s">
        <v>37</v>
      </c>
      <c r="C34" s="95" t="s">
        <v>153</v>
      </c>
      <c r="D34" s="19">
        <v>4</v>
      </c>
      <c r="E34" s="98"/>
      <c r="F34" s="19">
        <v>60</v>
      </c>
      <c r="G34" s="19">
        <v>32</v>
      </c>
      <c r="H34" s="19">
        <v>16</v>
      </c>
      <c r="I34" s="19" t="s">
        <v>35</v>
      </c>
      <c r="J34" s="19"/>
      <c r="K34" s="19"/>
      <c r="L34" s="19"/>
      <c r="M34" s="19"/>
      <c r="N34" s="19"/>
      <c r="O34" s="19"/>
      <c r="P34" s="19"/>
      <c r="Q34" s="30"/>
      <c r="R34" s="19" t="s">
        <v>23</v>
      </c>
    </row>
    <row r="35" spans="1:18" ht="21" x14ac:dyDescent="0.25">
      <c r="A35" s="94"/>
      <c r="B35" s="28" t="s">
        <v>38</v>
      </c>
      <c r="C35" s="96"/>
      <c r="D35" s="19">
        <v>4</v>
      </c>
      <c r="E35" s="98"/>
      <c r="F35" s="19">
        <v>65</v>
      </c>
      <c r="G35" s="19">
        <v>20</v>
      </c>
      <c r="H35" s="19">
        <v>12</v>
      </c>
      <c r="I35" s="19" t="s">
        <v>22</v>
      </c>
      <c r="J35" s="19"/>
      <c r="K35" s="19"/>
      <c r="L35" s="19"/>
      <c r="M35" s="19"/>
      <c r="N35" s="19"/>
      <c r="O35" s="19"/>
      <c r="P35" s="19"/>
      <c r="Q35" s="30"/>
      <c r="R35" s="19" t="s">
        <v>23</v>
      </c>
    </row>
    <row r="36" spans="1:18" ht="26.25" customHeight="1" x14ac:dyDescent="0.25">
      <c r="A36" s="87">
        <f>A35+1</f>
        <v>1</v>
      </c>
      <c r="B36" s="58" t="s">
        <v>172</v>
      </c>
      <c r="C36" s="59" t="s">
        <v>174</v>
      </c>
      <c r="D36" s="60">
        <v>6</v>
      </c>
      <c r="E36" s="100">
        <v>2</v>
      </c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1"/>
      <c r="R36" s="60" t="s">
        <v>23</v>
      </c>
    </row>
    <row r="37" spans="1:18" ht="25.5" customHeight="1" x14ac:dyDescent="0.25">
      <c r="A37" s="88"/>
      <c r="B37" s="58" t="s">
        <v>49</v>
      </c>
      <c r="C37" s="59" t="s">
        <v>92</v>
      </c>
      <c r="D37" s="60">
        <v>6</v>
      </c>
      <c r="E37" s="10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1"/>
      <c r="R37" s="60" t="s">
        <v>23</v>
      </c>
    </row>
  </sheetData>
  <mergeCells count="28">
    <mergeCell ref="A36:A37"/>
    <mergeCell ref="A20:A21"/>
    <mergeCell ref="P5:Q5"/>
    <mergeCell ref="P9:Q9"/>
    <mergeCell ref="A34:A35"/>
    <mergeCell ref="C34:C35"/>
    <mergeCell ref="F32:G32"/>
    <mergeCell ref="A11:A12"/>
    <mergeCell ref="C11:C12"/>
    <mergeCell ref="A13:A14"/>
    <mergeCell ref="F16:G16"/>
    <mergeCell ref="A18:A19"/>
    <mergeCell ref="P1:R1"/>
    <mergeCell ref="F2:H2"/>
    <mergeCell ref="A2:A3"/>
    <mergeCell ref="B2:B3"/>
    <mergeCell ref="C2:C3"/>
    <mergeCell ref="D2:D3"/>
    <mergeCell ref="R2:R3"/>
    <mergeCell ref="M2:O2"/>
    <mergeCell ref="P2:P3"/>
    <mergeCell ref="I2:I3"/>
    <mergeCell ref="J2:L2"/>
    <mergeCell ref="E2:E3"/>
    <mergeCell ref="Q2:Q3"/>
    <mergeCell ref="I1:O1"/>
    <mergeCell ref="F1:H1"/>
    <mergeCell ref="A1:E1"/>
  </mergeCells>
  <dataValidations count="3">
    <dataValidation type="list" allowBlank="1" showInputMessage="1" showErrorMessage="1" error="NOT IN STOCK" sqref="K4:K37 N4:N37">
      <formula1>"10,20,30,40,50,60,70,80,90,100"</formula1>
    </dataValidation>
    <dataValidation type="list" allowBlank="1" showInputMessage="1" showErrorMessage="1" error="NOT IN STOCK" sqref="J4:J37">
      <formula1>"M5,M5,M6,M8,M10,M12,M16,M20,M24,M30"</formula1>
    </dataValidation>
    <dataValidation type="list" allowBlank="1" showInputMessage="1" showErrorMessage="1" error="NOT IN STOCK" sqref="M4:M37">
      <formula1>"Ø6,Ø8,Ø10,Ø12,Ø13,Ø16,Ø20"</formula1>
    </dataValidation>
  </dataValidations>
  <printOptions horizontalCentered="1" verticalCentered="1"/>
  <pageMargins left="0.25" right="0.25" top="0.75" bottom="0.75" header="0.3" footer="0.3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MFG ITEM</vt:lpstr>
      <vt:lpstr>STD ITEM</vt:lpstr>
      <vt:lpstr>'MFG ITEM'!Print_Area</vt:lpstr>
      <vt:lpstr>'STD ITEM'!Print_Area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KTPL</dc:creator>
  <cp:keywords>S23GES1029_FLANGE UP</cp:keywords>
  <cp:lastModifiedBy>admin</cp:lastModifiedBy>
  <cp:lastPrinted>2023-05-12T13:47:51Z</cp:lastPrinted>
  <dcterms:created xsi:type="dcterms:W3CDTF">2021-11-12T09:48:31Z</dcterms:created>
  <dcterms:modified xsi:type="dcterms:W3CDTF">2025-02-21T14:31:19Z</dcterms:modified>
</cp:coreProperties>
</file>